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c16fab1a2c283e05/Pulpit/"/>
    </mc:Choice>
  </mc:AlternateContent>
  <xr:revisionPtr revIDLastSave="0" documentId="8_{0F3505DB-93E3-4AA3-98E2-D84D8E17242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Zadanie1" sheetId="1" r:id="rId1"/>
    <sheet name="Zadnie2" sheetId="2" r:id="rId2"/>
    <sheet name="Zadanko3" sheetId="3" r:id="rId3"/>
    <sheet name="Korelacja i Regresja1" sheetId="4" r:id="rId4"/>
    <sheet name="Korelacja i Regresja 2" sheetId="6" r:id="rId5"/>
  </sheets>
  <definedNames>
    <definedName name="_xlchart.v1.0" hidden="1">Zadanie1!$D$54:$D$65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5" i="3" l="1"/>
  <c r="T66" i="3" s="1"/>
  <c r="T53" i="3"/>
  <c r="T37" i="3"/>
  <c r="A24" i="4" l="1"/>
  <c r="B24" i="4"/>
  <c r="E3" i="4"/>
  <c r="T44" i="3"/>
  <c r="T36" i="3"/>
  <c r="T35" i="3"/>
  <c r="Q7" i="2"/>
  <c r="O33" i="2"/>
  <c r="N19" i="2" l="1"/>
  <c r="J14" i="6" l="1"/>
  <c r="J13" i="6"/>
  <c r="H9" i="6"/>
  <c r="H10" i="6"/>
  <c r="I4" i="6"/>
  <c r="I3" i="6"/>
  <c r="I2" i="6"/>
  <c r="H4" i="6"/>
  <c r="G4" i="6"/>
  <c r="C9" i="6"/>
  <c r="C61" i="4"/>
  <c r="C59" i="4"/>
  <c r="B57" i="4"/>
  <c r="G13" i="4"/>
  <c r="G4" i="4"/>
  <c r="G5" i="4"/>
  <c r="G6" i="4"/>
  <c r="G7" i="4"/>
  <c r="G8" i="4"/>
  <c r="G9" i="4"/>
  <c r="G10" i="4"/>
  <c r="G11" i="4"/>
  <c r="G12" i="4"/>
  <c r="G3" i="4"/>
  <c r="F4" i="4"/>
  <c r="F5" i="4"/>
  <c r="F6" i="4"/>
  <c r="F7" i="4"/>
  <c r="F8" i="4"/>
  <c r="F9" i="4"/>
  <c r="F10" i="4"/>
  <c r="F11" i="4"/>
  <c r="F12" i="4"/>
  <c r="F3" i="4"/>
  <c r="F48" i="4" a="1"/>
  <c r="F48" i="4" s="1"/>
  <c r="A49" i="4" a="1"/>
  <c r="A49" i="4" s="1"/>
  <c r="B42" i="4"/>
  <c r="B26" i="4"/>
  <c r="B19" i="4"/>
  <c r="B18" i="4"/>
  <c r="D9" i="4"/>
  <c r="B16" i="4"/>
  <c r="D11" i="4" s="1"/>
  <c r="B15" i="4"/>
  <c r="C3" i="4" s="1"/>
  <c r="M33" i="3"/>
  <c r="M34" i="3"/>
  <c r="M35" i="3"/>
  <c r="M36" i="3"/>
  <c r="M32" i="3"/>
  <c r="T46" i="3"/>
  <c r="T39" i="3"/>
  <c r="T60" i="3" s="1"/>
  <c r="T57" i="3"/>
  <c r="N33" i="3"/>
  <c r="N34" i="3"/>
  <c r="N35" i="3"/>
  <c r="N36" i="3"/>
  <c r="N32" i="3"/>
  <c r="P33" i="3"/>
  <c r="P34" i="3"/>
  <c r="P35" i="3"/>
  <c r="P36" i="3"/>
  <c r="T45" i="3"/>
  <c r="T62" i="3" s="1"/>
  <c r="P32" i="3"/>
  <c r="O33" i="3"/>
  <c r="O34" i="3"/>
  <c r="O35" i="3"/>
  <c r="O36" i="3"/>
  <c r="O32" i="3"/>
  <c r="T40" i="3"/>
  <c r="T38" i="3"/>
  <c r="T33" i="3"/>
  <c r="V17" i="3"/>
  <c r="V18" i="3"/>
  <c r="V19" i="3"/>
  <c r="V20" i="3"/>
  <c r="V16" i="3"/>
  <c r="U21" i="3"/>
  <c r="T21" i="3"/>
  <c r="R8" i="2"/>
  <c r="R9" i="2"/>
  <c r="R10" i="2"/>
  <c r="R11" i="2"/>
  <c r="R7" i="2"/>
  <c r="R12" i="2" s="1"/>
  <c r="P49" i="2" s="1"/>
  <c r="P50" i="2" s="1"/>
  <c r="O42" i="2"/>
  <c r="O43" i="2"/>
  <c r="O44" i="2"/>
  <c r="O35" i="2"/>
  <c r="Q8" i="2"/>
  <c r="Q9" i="2"/>
  <c r="Q10" i="2"/>
  <c r="Q11" i="2"/>
  <c r="Q12" i="2"/>
  <c r="O37" i="2" s="1"/>
  <c r="O39" i="2" s="1"/>
  <c r="N28" i="2"/>
  <c r="N26" i="2"/>
  <c r="N24" i="2"/>
  <c r="O8" i="2"/>
  <c r="O9" i="2"/>
  <c r="O10" i="2"/>
  <c r="O11" i="2"/>
  <c r="O7" i="2"/>
  <c r="N12" i="2"/>
  <c r="I57" i="1"/>
  <c r="I54" i="1"/>
  <c r="I36" i="1"/>
  <c r="I37" i="1"/>
  <c r="I34" i="1"/>
  <c r="I33" i="1"/>
  <c r="I30" i="1"/>
  <c r="E63" i="1" s="1"/>
  <c r="I31" i="1"/>
  <c r="I29" i="1"/>
  <c r="I38" i="1"/>
  <c r="I32" i="1"/>
  <c r="T58" i="3" l="1"/>
  <c r="T47" i="3"/>
  <c r="D10" i="4"/>
  <c r="G53" i="4"/>
  <c r="F53" i="4"/>
  <c r="G51" i="4"/>
  <c r="G50" i="4"/>
  <c r="F50" i="4"/>
  <c r="G49" i="4"/>
  <c r="F49" i="4"/>
  <c r="F52" i="4"/>
  <c r="G54" i="4"/>
  <c r="G48" i="4"/>
  <c r="G52" i="4"/>
  <c r="F51" i="4"/>
  <c r="F54" i="4"/>
  <c r="B49" i="4"/>
  <c r="C5" i="4"/>
  <c r="D3" i="4"/>
  <c r="D8" i="4"/>
  <c r="E8" i="4" s="1"/>
  <c r="C9" i="4"/>
  <c r="E9" i="4" s="1"/>
  <c r="D7" i="4"/>
  <c r="E7" i="4" s="1"/>
  <c r="D6" i="4"/>
  <c r="C12" i="4"/>
  <c r="D5" i="4"/>
  <c r="E5" i="4" s="1"/>
  <c r="C11" i="4"/>
  <c r="E11" i="4" s="1"/>
  <c r="D4" i="4"/>
  <c r="C10" i="4"/>
  <c r="E10" i="4" s="1"/>
  <c r="C8" i="4"/>
  <c r="C7" i="4"/>
  <c r="C6" i="4"/>
  <c r="C4" i="4"/>
  <c r="D12" i="4"/>
  <c r="T51" i="3"/>
  <c r="T52" i="3" s="1"/>
  <c r="V21" i="3"/>
  <c r="T25" i="3" s="1"/>
  <c r="E62" i="1"/>
  <c r="E58" i="1"/>
  <c r="E57" i="1"/>
  <c r="E55" i="1"/>
  <c r="E56" i="1"/>
  <c r="E61" i="1"/>
  <c r="E54" i="1"/>
  <c r="E65" i="1"/>
  <c r="E59" i="1"/>
  <c r="I47" i="1"/>
  <c r="E64" i="1"/>
  <c r="I55" i="1"/>
  <c r="E60" i="1"/>
  <c r="I40" i="1"/>
  <c r="I39" i="1"/>
  <c r="I48" i="1" s="1"/>
  <c r="E12" i="4" l="1"/>
  <c r="E4" i="4"/>
  <c r="E6" i="4"/>
  <c r="E13" i="4"/>
  <c r="I53" i="1"/>
  <c r="G54" i="1" s="1"/>
</calcChain>
</file>

<file path=xl/sharedStrings.xml><?xml version="1.0" encoding="utf-8"?>
<sst xmlns="http://schemas.openxmlformats.org/spreadsheetml/2006/main" count="214" uniqueCount="179">
  <si>
    <t>losowo wybrany uzytkownik portalu chomikuj.pl w dniu 21.09.21</t>
  </si>
  <si>
    <t>sa userami portalu chomikuj.pl w dniu 20 wrzesnia</t>
  </si>
  <si>
    <t>liczba pobran plikow na minute (ilosciowa skokowa)</t>
  </si>
  <si>
    <t>10 20 40 20 28 50 120 80 60 68 90 150</t>
  </si>
  <si>
    <t>mediana</t>
  </si>
  <si>
    <t>srednia</t>
  </si>
  <si>
    <t>dominanta</t>
  </si>
  <si>
    <t xml:space="preserve"> odchylenie standardowe</t>
  </si>
  <si>
    <t>wariancja</t>
  </si>
  <si>
    <t>asymetria lewostronna</t>
  </si>
  <si>
    <t>kwartyl_trzeci</t>
  </si>
  <si>
    <t>kwartyl1</t>
  </si>
  <si>
    <t>kwartyl2</t>
  </si>
  <si>
    <t>Int: 50 procent losowo wybranych userow chomikuj.pl w dniu 20.09.2022 roku posiadalo co najwzyej 55 pobran/minute</t>
  </si>
  <si>
    <t>Int:srednia liczba pobran na minute wynosila 61</t>
  </si>
  <si>
    <t>Int: 50 procent userow posiadalo conajwzyej 55 pobran/minute</t>
  </si>
  <si>
    <t>Int: 75 procent userow posiadalo conajwzyej 82,5 pobran/minute</t>
  </si>
  <si>
    <r>
      <t xml:space="preserve">Int: 25 procent userow posiadalo </t>
    </r>
    <r>
      <rPr>
        <b/>
        <sz val="10"/>
        <color rgb="FF000000"/>
        <rFont val="Arial"/>
        <family val="2"/>
        <charset val="238"/>
        <scheme val="minor"/>
      </rPr>
      <t xml:space="preserve">conajwzyej </t>
    </r>
    <r>
      <rPr>
        <sz val="10"/>
        <color rgb="FF000000"/>
        <rFont val="Arial"/>
        <family val="2"/>
        <charset val="238"/>
        <scheme val="minor"/>
      </rPr>
      <t>26 pobran/minute; a 75 procent</t>
    </r>
    <r>
      <rPr>
        <b/>
        <sz val="10"/>
        <color rgb="FF000000"/>
        <rFont val="Arial"/>
        <family val="2"/>
        <charset val="238"/>
        <scheme val="minor"/>
      </rPr>
      <t xml:space="preserve"> co najmnie</t>
    </r>
    <r>
      <rPr>
        <sz val="10"/>
        <color rgb="FF000000"/>
        <rFont val="Arial"/>
        <family val="2"/>
        <charset val="238"/>
        <scheme val="minor"/>
      </rPr>
      <t>j 26 pobran/minute</t>
    </r>
  </si>
  <si>
    <t>Int: Wśród calej populacji najczesciej wystepujaca liczba pobran plikow/minute jest 20</t>
  </si>
  <si>
    <t>odchylenie cwiartkowe</t>
  </si>
  <si>
    <t>rozstep(klasyczne)</t>
  </si>
  <si>
    <t>wspolczynnik zmiennosci(klasyczny)</t>
  </si>
  <si>
    <t>0-20</t>
  </si>
  <si>
    <t>21-40</t>
  </si>
  <si>
    <t>41-60</t>
  </si>
  <si>
    <t>61-80</t>
  </si>
  <si>
    <t>powyzej 80</t>
  </si>
  <si>
    <t>male</t>
  </si>
  <si>
    <t>umiarkowane</t>
  </si>
  <si>
    <t>silne</t>
  </si>
  <si>
    <t>bardzo silne</t>
  </si>
  <si>
    <t>bardzo male rozproszenie</t>
  </si>
  <si>
    <t>→</t>
  </si>
  <si>
    <t>Int:Roznica miedzy xmax i xmin</t>
  </si>
  <si>
    <t>Int:Liczba pobran/min userow  odchyla się od sredniej o około 41,1 pobran</t>
  </si>
  <si>
    <t>Int:Rozklad liczby  pobran/min charakteryzuje się silnym rozproszeniem</t>
  </si>
  <si>
    <t>rozstep(pozycyjny)</t>
  </si>
  <si>
    <t>wspolczynnik zmiennosci(pozycyjny)</t>
  </si>
  <si>
    <t>Int: Roznica miedzy dolna i gorna granica 50% srodkowo losowo wybranych uzytkownikow portalu chomikujpl w dniu 20 09 wynosi 57</t>
  </si>
  <si>
    <t>Int:Rozklad liczby pobran plikow 50% srodkowych wybranych userow charakteryzuje się umiarkowanym rozproszeniem</t>
  </si>
  <si>
    <t>Moment 3 centralny absolutny</t>
  </si>
  <si>
    <t>Moment 3 centralny wzgledny</t>
  </si>
  <si>
    <t>Wspolczynnik skosnosci</t>
  </si>
  <si>
    <t>&lt;-2,2&gt;</t>
  </si>
  <si>
    <t>Int:Im blizej krawedzi zbioru tym wieksza asymetria(w tym wypadku asymetria dodatnia, umiarkowana)</t>
  </si>
  <si>
    <t>(xi-srednia)^3</t>
  </si>
  <si>
    <t>Int: Wskazuje kierunek asymetri</t>
  </si>
  <si>
    <t>Int: niewielka ujemna asymetria</t>
  </si>
  <si>
    <t>Koncetracja Rozklada-KURTOZA(pozycyjne)</t>
  </si>
  <si>
    <t>K=0 rozklad normalmy</t>
  </si>
  <si>
    <t>K&gt;0 Rozklad Wysmukly</t>
  </si>
  <si>
    <t>K&lt;0 Rozklad Splaczczony</t>
  </si>
  <si>
    <t>1. Serwery</t>
  </si>
  <si>
    <t>3.Liczba Resetow</t>
  </si>
  <si>
    <t>Liczba resetow -xi</t>
  </si>
  <si>
    <t>liczba serwerow -n</t>
  </si>
  <si>
    <t>suma</t>
  </si>
  <si>
    <t>Miary Polozenia</t>
  </si>
  <si>
    <t>Średnia</t>
  </si>
  <si>
    <t>xi*ni</t>
  </si>
  <si>
    <t>Srednia liczba resetów serwerów wynosi około 2</t>
  </si>
  <si>
    <t>Miary klasyczne</t>
  </si>
  <si>
    <t>Miary Pozycyjne</t>
  </si>
  <si>
    <t>Dominanta</t>
  </si>
  <si>
    <t>Q1</t>
  </si>
  <si>
    <t>poz.Q1</t>
  </si>
  <si>
    <t>nsk</t>
  </si>
  <si>
    <t>Q2</t>
  </si>
  <si>
    <t>poz.Q2</t>
  </si>
  <si>
    <t>Q3</t>
  </si>
  <si>
    <t>poz.Q3</t>
  </si>
  <si>
    <t>25 procent naszych serwerów ma dwa resety lub mniej, a 75 procent ma dwa lub więcej</t>
  </si>
  <si>
    <t>50 procent naszych serwerów ma dwa resety lub mniej, a 50 procent ma dwa lub więcej</t>
  </si>
  <si>
    <t>75 procent naszych serwerów ma dwa resety lub mniej, a 25 procent ma dwa lub więcej</t>
  </si>
  <si>
    <t>2.Są serwerami w firmie w 2020 roku</t>
  </si>
  <si>
    <t>Miary Dyspersji</t>
  </si>
  <si>
    <t>odchylenei standardowe</t>
  </si>
  <si>
    <t>Współczynnik Zmienności</t>
  </si>
  <si>
    <t>Rozstęp</t>
  </si>
  <si>
    <t>(xi-srednia)^2 *ni</t>
  </si>
  <si>
    <t xml:space="preserve"> Małe rozproszenie</t>
  </si>
  <si>
    <t>Srednie odchylenie od sredniej resetow wynosi około 0,7</t>
  </si>
  <si>
    <t>Odchylenie Ćwiartokowe</t>
  </si>
  <si>
    <t>Rozstep</t>
  </si>
  <si>
    <t>Wspolczynnik Zmiennosci</t>
  </si>
  <si>
    <t xml:space="preserve"> </t>
  </si>
  <si>
    <t>Miary pozycyjne ut nie oddaja</t>
  </si>
  <si>
    <t>Miary Asymetrii</t>
  </si>
  <si>
    <t>Moment trzeci centralny absolutny</t>
  </si>
  <si>
    <t>Moment trzeci centralny względny</t>
  </si>
  <si>
    <t>(xi-srednia)^3 *ni</t>
  </si>
  <si>
    <t>Miary pozycyjne</t>
  </si>
  <si>
    <t>Współczynnik Skośnosci</t>
  </si>
  <si>
    <t>Mała siła asymetrii ujemnej</t>
  </si>
  <si>
    <t>0-10</t>
  </si>
  <si>
    <t>10-20</t>
  </si>
  <si>
    <t>20-30</t>
  </si>
  <si>
    <t>30-40</t>
  </si>
  <si>
    <t>40-50</t>
  </si>
  <si>
    <t>Razem</t>
  </si>
  <si>
    <t>x</t>
  </si>
  <si>
    <t>n</t>
  </si>
  <si>
    <t>1.Jednostką badania są algorytmy</t>
  </si>
  <si>
    <t>3. Cechą zmienną jest czas obliczania algorytmu</t>
  </si>
  <si>
    <t>srodek przedzialu(x z koleczkiem u gory)</t>
  </si>
  <si>
    <t>srodek przedzialu *ni</t>
  </si>
  <si>
    <t>Srednia</t>
  </si>
  <si>
    <t>Domimanta</t>
  </si>
  <si>
    <t>dolna granica przedzialu</t>
  </si>
  <si>
    <t>liczebnosc klasy w ktorej znajduje się dominanta</t>
  </si>
  <si>
    <t>xi0</t>
  </si>
  <si>
    <t>ni0</t>
  </si>
  <si>
    <t>ni0 -1</t>
  </si>
  <si>
    <t>liczebnosc klasy poprzedzajacej klase w ktorej jest dominanta</t>
  </si>
  <si>
    <t>ci0</t>
  </si>
  <si>
    <t>rozpietosc przedzialu w kalsie gdzie jest dominanta</t>
  </si>
  <si>
    <t>n*0,25</t>
  </si>
  <si>
    <t>nsk-1</t>
  </si>
  <si>
    <t>wartosc skumulowana dla poprzedniego rzedu(przedzialu)</t>
  </si>
  <si>
    <t>poz Q2</t>
  </si>
  <si>
    <t>poz Q3</t>
  </si>
  <si>
    <t>x-srednia</t>
  </si>
  <si>
    <t>x-srednia^2*n</t>
  </si>
  <si>
    <t>odchylenie standardowe</t>
  </si>
  <si>
    <t>odch.cw</t>
  </si>
  <si>
    <t>wspl.zm.</t>
  </si>
  <si>
    <t>Miary Asymetri</t>
  </si>
  <si>
    <t>moment 3 abs</t>
  </si>
  <si>
    <t>x-srednia^3*n</t>
  </si>
  <si>
    <t>moment 3 wzg</t>
  </si>
  <si>
    <t>Wspl skos</t>
  </si>
  <si>
    <t>wspl skos</t>
  </si>
  <si>
    <t>kurtoza</t>
  </si>
  <si>
    <t>ilosc redzeni procesoira</t>
  </si>
  <si>
    <t>ilosc pamieci ram</t>
  </si>
  <si>
    <t>1.Tablica zawiera dane dotyczące ilości rdzeni procesora i ilości pamięci RAM (GB) wybranych 10 komputerów. Zbadaj występowanie współzależności oraz regresji.</t>
  </si>
  <si>
    <t>Korelacje Pearsona tylko dla cech ilosciowych</t>
  </si>
  <si>
    <t>x-srednia^4*n</t>
  </si>
  <si>
    <t>Pearsonek</t>
  </si>
  <si>
    <t>y</t>
  </si>
  <si>
    <t>srednia x</t>
  </si>
  <si>
    <t>srednia y</t>
  </si>
  <si>
    <t>xi- srednia</t>
  </si>
  <si>
    <t>yi-srednia</t>
  </si>
  <si>
    <t>odchylenie standardowe x</t>
  </si>
  <si>
    <t>odchylenie standardowe y</t>
  </si>
  <si>
    <t>D * E</t>
  </si>
  <si>
    <t>Kowariancja</t>
  </si>
  <si>
    <t>Pearson ale z funkcji</t>
  </si>
  <si>
    <t>Korelacja jest silna i dodatnia, jak x rosnie to y rosnie</t>
  </si>
  <si>
    <t>2.Oblicz korelację Pearsona i narysuj wykres korelacyjny, określ siłę i kierunek 
współzależności między ilością rdzeni procesora i ilością pamięci RAM w wybranych 10 
komputerach.</t>
  </si>
  <si>
    <t>3. Oblicz parametry funkcji regresji opisującej wpływ ilości rdzeni procesora (xi) na ilość 
pamięci RAM (yi) w wybranych gospodarstwach domowych</t>
  </si>
  <si>
    <t>Równanie regresji liniowej</t>
  </si>
  <si>
    <t>y=4,59*x- 6,45</t>
  </si>
  <si>
    <t>R^2</t>
  </si>
  <si>
    <t>59 % zmiennosci ilosci pamieci ram jest wyjasnionych przez model regresji</t>
  </si>
  <si>
    <t>Wspolczynnik Indeterminacji</t>
  </si>
  <si>
    <t>41 Procent zmiennosci y nie zostalo wyjasnionych przez model regresji</t>
  </si>
  <si>
    <t>Liczenie Regresji Liniowej</t>
  </si>
  <si>
    <t>b</t>
  </si>
  <si>
    <t>a</t>
  </si>
  <si>
    <t xml:space="preserve">Prognoza </t>
  </si>
  <si>
    <t>(yi-prognoza)^2</t>
  </si>
  <si>
    <t>SSE(Suma Błędów Resztowych)</t>
  </si>
  <si>
    <t>Wariancja Resztowa</t>
  </si>
  <si>
    <t>Odchylenie Standardowe Skladnika Resztowego</t>
  </si>
  <si>
    <t>Od Prognoz wartosci teoretyczne odchylaja się od prognoz o około 5,96</t>
  </si>
  <si>
    <t>Wspolczynnik zmiennosci przypadkowej</t>
  </si>
  <si>
    <t>Im blizej zera tym model jest lepszy, lepszy do progrnozowania, w tym przypadku jest taki se</t>
  </si>
  <si>
    <t>Im wyzsze R^2 to tym lepiej</t>
  </si>
  <si>
    <t>kobieta</t>
  </si>
  <si>
    <t>mezyczyzna</t>
  </si>
  <si>
    <t>Tak</t>
  </si>
  <si>
    <t>nie</t>
  </si>
  <si>
    <t>`</t>
  </si>
  <si>
    <t>Chi kwadrat</t>
  </si>
  <si>
    <t>Chi Kwadrat</t>
  </si>
  <si>
    <t>mianownik</t>
  </si>
  <si>
    <t>Int:NIE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</si>
</sst>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0"/>
      <color rgb="FF000000"/>
      <name val="Arial"/>
      <scheme val="minor"/>
    </font>
    <font>
      <b/>
      <sz val="14"/>
      <color theme="1"/>
      <name val="Arial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color theme="1"/>
      <name val="Arial"/>
      <family val="2"/>
      <charset val="238"/>
      <scheme val="minor"/>
    </font>
    <font>
      <b/>
      <sz val="10"/>
      <color rgb="FF000000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sz val="10"/>
      <color theme="1"/>
      <name val="Arial"/>
      <family val="2"/>
      <charset val="238"/>
      <scheme val="minor"/>
    </font>
    <font>
      <sz val="10"/>
      <color rgb="FF000000"/>
      <name val="Calibri"/>
      <family val="2"/>
      <charset val="238"/>
    </font>
    <font>
      <u/>
      <sz val="10"/>
      <color theme="10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sz val="8"/>
      <color rgb="FF000000"/>
      <name val="Arial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4" fontId="3" fillId="0" borderId="0" xfId="0" applyNumberFormat="1" applyFont="1"/>
    <xf numFmtId="0" fontId="3" fillId="0" borderId="0" xfId="0" applyFont="1"/>
    <xf numFmtId="0" fontId="3" fillId="0" borderId="1" xfId="0" applyFont="1" applyBorder="1"/>
    <xf numFmtId="164" fontId="3" fillId="0" borderId="0" xfId="0" applyNumberFormat="1" applyFont="1"/>
    <xf numFmtId="1" fontId="3" fillId="0" borderId="1" xfId="0" applyNumberFormat="1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2" xfId="0" applyBorder="1"/>
    <xf numFmtId="164" fontId="3" fillId="0" borderId="2" xfId="0" applyNumberFormat="1" applyFont="1" applyBorder="1"/>
    <xf numFmtId="0" fontId="3" fillId="0" borderId="4" xfId="0" applyFont="1" applyBorder="1"/>
    <xf numFmtId="164" fontId="3" fillId="0" borderId="4" xfId="0" applyNumberFormat="1" applyFont="1" applyBorder="1"/>
    <xf numFmtId="1" fontId="0" fillId="0" borderId="2" xfId="0" applyNumberFormat="1" applyBorder="1"/>
    <xf numFmtId="0" fontId="5" fillId="0" borderId="0" xfId="0" applyFont="1"/>
    <xf numFmtId="0" fontId="6" fillId="0" borderId="2" xfId="0" applyFont="1" applyBorder="1"/>
    <xf numFmtId="0" fontId="5" fillId="0" borderId="2" xfId="0" applyFont="1" applyBorder="1"/>
    <xf numFmtId="9" fontId="0" fillId="0" borderId="2" xfId="0" applyNumberFormat="1" applyBorder="1"/>
    <xf numFmtId="0" fontId="7" fillId="0" borderId="0" xfId="0" applyFont="1"/>
    <xf numFmtId="0" fontId="5" fillId="0" borderId="6" xfId="0" applyFont="1" applyBorder="1"/>
    <xf numFmtId="10" fontId="0" fillId="0" borderId="0" xfId="0" applyNumberFormat="1"/>
    <xf numFmtId="1" fontId="0" fillId="0" borderId="0" xfId="0" applyNumberFormat="1"/>
    <xf numFmtId="0" fontId="3" fillId="0" borderId="5" xfId="0" applyFont="1" applyBorder="1"/>
    <xf numFmtId="0" fontId="5" fillId="0" borderId="2" xfId="0" applyFont="1" applyBorder="1" applyAlignment="1">
      <alignment wrapText="1"/>
    </xf>
    <xf numFmtId="0" fontId="4" fillId="0" borderId="0" xfId="0" applyFont="1"/>
    <xf numFmtId="49" fontId="5" fillId="0" borderId="2" xfId="0" applyNumberFormat="1" applyFont="1" applyBorder="1"/>
    <xf numFmtId="0" fontId="0" fillId="0" borderId="2" xfId="0" applyBorder="1" applyAlignment="1">
      <alignment horizontal="center"/>
    </xf>
    <xf numFmtId="2" fontId="0" fillId="0" borderId="0" xfId="0" applyNumberFormat="1"/>
    <xf numFmtId="0" fontId="5" fillId="2" borderId="2" xfId="0" applyFont="1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0" borderId="0" xfId="1"/>
    <xf numFmtId="0" fontId="10" fillId="0" borderId="0" xfId="0" applyFont="1"/>
    <xf numFmtId="2" fontId="5" fillId="0" borderId="0" xfId="0" applyNumberFormat="1" applyFont="1"/>
    <xf numFmtId="0" fontId="0" fillId="0" borderId="8" xfId="0" applyBorder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/>
    <xf numFmtId="0" fontId="5" fillId="3" borderId="8" xfId="0" applyFont="1" applyFill="1" applyBorder="1"/>
    <xf numFmtId="0" fontId="5" fillId="0" borderId="0" xfId="0" applyFont="1" applyAlignment="1">
      <alignment wrapText="1"/>
    </xf>
    <xf numFmtId="0" fontId="0" fillId="0" borderId="0" xfId="0" applyAlignment="1">
      <alignment horizontal="left"/>
    </xf>
    <xf numFmtId="9" fontId="0" fillId="0" borderId="0" xfId="2" applyFont="1"/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</cellXfs>
  <cellStyles count="3">
    <cellStyle name="Hiperłącze" xfId="1" builtinId="8"/>
    <cellStyle name="Normalny" xfId="0" builtinId="0"/>
    <cellStyle name="Procentowy" xfId="2" builtinId="5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Zadanie1!$D$54:$D$65</c:f>
              <c:numCache>
                <c:formatCode>General</c:formatCode>
                <c:ptCount val="12"/>
                <c:pt idx="0">
                  <c:v>10</c:v>
                </c:pt>
                <c:pt idx="1">
                  <c:v>20</c:v>
                </c:pt>
                <c:pt idx="2">
                  <c:v>20</c:v>
                </c:pt>
                <c:pt idx="3">
                  <c:v>28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68</c:v>
                </c:pt>
                <c:pt idx="8">
                  <c:v>80</c:v>
                </c:pt>
                <c:pt idx="9">
                  <c:v>90</c:v>
                </c:pt>
                <c:pt idx="10">
                  <c:v>120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6-4EC7-BB36-835FE8CD7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5798000"/>
        <c:axId val="1285783440"/>
      </c:barChart>
      <c:catAx>
        <c:axId val="1285798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85783440"/>
        <c:crosses val="autoZero"/>
        <c:auto val="1"/>
        <c:lblAlgn val="ctr"/>
        <c:lblOffset val="100"/>
        <c:noMultiLvlLbl val="0"/>
      </c:catAx>
      <c:valAx>
        <c:axId val="128578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8579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38956692913386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Zadanie1!$K$11:$K$22</c:f>
              <c:numCache>
                <c:formatCode>General</c:formatCode>
                <c:ptCount val="12"/>
                <c:pt idx="0">
                  <c:v>10</c:v>
                </c:pt>
                <c:pt idx="1">
                  <c:v>20</c:v>
                </c:pt>
                <c:pt idx="2">
                  <c:v>20</c:v>
                </c:pt>
                <c:pt idx="3">
                  <c:v>28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68</c:v>
                </c:pt>
                <c:pt idx="8">
                  <c:v>80</c:v>
                </c:pt>
                <c:pt idx="9">
                  <c:v>90</c:v>
                </c:pt>
                <c:pt idx="10">
                  <c:v>120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6-4DFA-8228-513B072F6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257968"/>
        <c:axId val="1683260880"/>
      </c:lineChart>
      <c:catAx>
        <c:axId val="1683257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3260880"/>
        <c:crosses val="autoZero"/>
        <c:auto val="1"/>
        <c:lblAlgn val="ctr"/>
        <c:lblOffset val="100"/>
        <c:noMultiLvlLbl val="0"/>
      </c:catAx>
      <c:valAx>
        <c:axId val="16832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325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Badanie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Zadnie2!$M$7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Zadnie2!$N$7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2-49D2-A77D-9AF86446A0A2}"/>
            </c:ext>
          </c:extLst>
        </c:ser>
        <c:ser>
          <c:idx val="1"/>
          <c:order val="1"/>
          <c:tx>
            <c:strRef>
              <c:f>Zadnie2!$M$8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Zadnie2!$N$8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2-49D2-A77D-9AF86446A0A2}"/>
            </c:ext>
          </c:extLst>
        </c:ser>
        <c:ser>
          <c:idx val="2"/>
          <c:order val="2"/>
          <c:tx>
            <c:strRef>
              <c:f>Zadnie2!$M$9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Zadnie2!$N$9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2-49D2-A77D-9AF86446A0A2}"/>
            </c:ext>
          </c:extLst>
        </c:ser>
        <c:ser>
          <c:idx val="3"/>
          <c:order val="3"/>
          <c:tx>
            <c:strRef>
              <c:f>Zadnie2!$M$10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Zadnie2!$N$10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2-49D2-A77D-9AF86446A0A2}"/>
            </c:ext>
          </c:extLst>
        </c:ser>
        <c:ser>
          <c:idx val="4"/>
          <c:order val="4"/>
          <c:tx>
            <c:strRef>
              <c:f>Zadnie2!$M$11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Zadnie2!$N$11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2-49D2-A77D-9AF86446A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0118832"/>
        <c:axId val="1330120912"/>
      </c:barChart>
      <c:catAx>
        <c:axId val="1330118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30120912"/>
        <c:crosses val="autoZero"/>
        <c:auto val="1"/>
        <c:lblAlgn val="ctr"/>
        <c:lblOffset val="100"/>
        <c:noMultiLvlLbl val="0"/>
      </c:catAx>
      <c:valAx>
        <c:axId val="13301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011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Badanie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Zadanko3!$T$16:$T$20</c:f>
              <c:numCache>
                <c:formatCode>General</c:formatCode>
                <c:ptCount val="5"/>
                <c:pt idx="0">
                  <c:v>5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4-4417-81FE-B660E8AE4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213678624"/>
        <c:axId val="1213676960"/>
      </c:barChart>
      <c:catAx>
        <c:axId val="1213678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3676960"/>
        <c:crosses val="autoZero"/>
        <c:auto val="1"/>
        <c:lblAlgn val="ctr"/>
        <c:lblOffset val="100"/>
        <c:noMultiLvlLbl val="0"/>
      </c:catAx>
      <c:valAx>
        <c:axId val="12136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3678624"/>
        <c:crosses val="autoZero"/>
        <c:crossBetween val="between"/>
      </c:valAx>
      <c:spPr>
        <a:solidFill>
          <a:schemeClr val="bg1">
            <a:alpha val="94000"/>
          </a:schemeClr>
        </a:solidFill>
        <a:ln w="0"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Korelacyjny</a:t>
            </a:r>
            <a:endParaRPr lang="pl-PL"/>
          </a:p>
        </c:rich>
      </c:tx>
      <c:layout>
        <c:manualLayout>
          <c:xMode val="edge"/>
          <c:yMode val="edge"/>
          <c:x val="0.357243000874890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'Korelacja i Regresja1'!$A$3:$A$12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'Korelacja i Regresja1'!$B$3:$B$12</c:f>
              <c:numCache>
                <c:formatCode>General</c:formatCode>
                <c:ptCount val="10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4</c:v>
                </c:pt>
                <c:pt idx="5">
                  <c:v>2</c:v>
                </c:pt>
                <c:pt idx="6">
                  <c:v>8</c:v>
                </c:pt>
                <c:pt idx="7">
                  <c:v>16</c:v>
                </c:pt>
                <c:pt idx="8">
                  <c:v>12</c:v>
                </c:pt>
                <c:pt idx="9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D-4136-8F8C-0112A3741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7232"/>
        <c:axId val="51085168"/>
      </c:scatterChart>
      <c:valAx>
        <c:axId val="5109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Ilosc</a:t>
                </a:r>
                <a:r>
                  <a:rPr lang="pl-PL" baseline="0"/>
                  <a:t> Rdzeni Procesora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085168"/>
        <c:crosses val="autoZero"/>
        <c:crossBetween val="midCat"/>
      </c:valAx>
      <c:valAx>
        <c:axId val="5108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Ilosc</a:t>
                </a:r>
                <a:r>
                  <a:rPr lang="pl-PL" baseline="0"/>
                  <a:t> Pamieci Ram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09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boxWhisker" uniqueId="{3B2911A2-7929-4435-A559-029B5CD05B1E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57900" cy="3648075"/>
    <xdr:pic>
      <xdr:nvPicPr>
        <xdr:cNvPr id="3" name="image1.png" title="Obraz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4</xdr:col>
      <xdr:colOff>483870</xdr:colOff>
      <xdr:row>8</xdr:row>
      <xdr:rowOff>38100</xdr:rowOff>
    </xdr:from>
    <xdr:to>
      <xdr:col>9</xdr:col>
      <xdr:colOff>712470</xdr:colOff>
      <xdr:row>25</xdr:row>
      <xdr:rowOff>7620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34290</xdr:colOff>
      <xdr:row>10</xdr:row>
      <xdr:rowOff>129540</xdr:rowOff>
    </xdr:from>
    <xdr:to>
      <xdr:col>14</xdr:col>
      <xdr:colOff>426720</xdr:colOff>
      <xdr:row>23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Wykres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51390" y="2225040"/>
              <a:ext cx="3040380" cy="2033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6</xdr:col>
      <xdr:colOff>392430</xdr:colOff>
      <xdr:row>60</xdr:row>
      <xdr:rowOff>144780</xdr:rowOff>
    </xdr:from>
    <xdr:to>
      <xdr:col>11</xdr:col>
      <xdr:colOff>514350</xdr:colOff>
      <xdr:row>74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84408</xdr:colOff>
      <xdr:row>24</xdr:row>
      <xdr:rowOff>84205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790008" cy="4442845"/>
        </a:xfrm>
        <a:prstGeom prst="rect">
          <a:avLst/>
        </a:prstGeom>
      </xdr:spPr>
    </xdr:pic>
    <xdr:clientData/>
  </xdr:twoCellAnchor>
  <xdr:twoCellAnchor>
    <xdr:from>
      <xdr:col>3</xdr:col>
      <xdr:colOff>144780</xdr:colOff>
      <xdr:row>24</xdr:row>
      <xdr:rowOff>152400</xdr:rowOff>
    </xdr:from>
    <xdr:to>
      <xdr:col>9</xdr:col>
      <xdr:colOff>472440</xdr:colOff>
      <xdr:row>38</xdr:row>
      <xdr:rowOff>121920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76788</xdr:colOff>
      <xdr:row>34</xdr:row>
      <xdr:rowOff>145287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782388" cy="5845047"/>
        </a:xfrm>
        <a:prstGeom prst="rect">
          <a:avLst/>
        </a:prstGeom>
      </xdr:spPr>
    </xdr:pic>
    <xdr:clientData/>
  </xdr:twoCellAnchor>
  <xdr:twoCellAnchor>
    <xdr:from>
      <xdr:col>11</xdr:col>
      <xdr:colOff>192741</xdr:colOff>
      <xdr:row>0</xdr:row>
      <xdr:rowOff>116541</xdr:rowOff>
    </xdr:from>
    <xdr:to>
      <xdr:col>17</xdr:col>
      <xdr:colOff>80683</xdr:colOff>
      <xdr:row>12</xdr:row>
      <xdr:rowOff>125506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518160</xdr:colOff>
      <xdr:row>6</xdr:row>
      <xdr:rowOff>91440</xdr:rowOff>
    </xdr:from>
    <xdr:to>
      <xdr:col>19</xdr:col>
      <xdr:colOff>297180</xdr:colOff>
      <xdr:row>24</xdr:row>
      <xdr:rowOff>68580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pozQ@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5:M65"/>
  <sheetViews>
    <sheetView tabSelected="1" zoomScale="80" workbookViewId="0">
      <selection activeCell="G60" sqref="G60"/>
    </sheetView>
  </sheetViews>
  <sheetFormatPr defaultColWidth="12.6328125" defaultRowHeight="15.75" customHeight="1" outlineLevelRow="1" x14ac:dyDescent="0.25"/>
  <cols>
    <col min="9" max="9" width="14.1796875" customWidth="1"/>
  </cols>
  <sheetData>
    <row r="5" spans="2:12" ht="18" x14ac:dyDescent="0.4">
      <c r="H5" s="1">
        <v>1</v>
      </c>
      <c r="I5" s="2" t="s">
        <v>0</v>
      </c>
      <c r="L5" s="3"/>
    </row>
    <row r="6" spans="2:12" ht="18" x14ac:dyDescent="0.4">
      <c r="H6" s="1">
        <v>2</v>
      </c>
      <c r="I6" s="4" t="s">
        <v>1</v>
      </c>
    </row>
    <row r="7" spans="2:12" ht="18" x14ac:dyDescent="0.4">
      <c r="H7" s="1">
        <v>3</v>
      </c>
      <c r="I7" s="4" t="s">
        <v>2</v>
      </c>
    </row>
    <row r="8" spans="2:12" ht="18" x14ac:dyDescent="0.4">
      <c r="C8" s="4" t="s">
        <v>3</v>
      </c>
      <c r="H8" s="1">
        <v>4</v>
      </c>
    </row>
    <row r="11" spans="2:12" ht="15.75" customHeight="1" x14ac:dyDescent="0.25">
      <c r="K11" s="23">
        <v>10</v>
      </c>
    </row>
    <row r="12" spans="2:12" ht="12.5" x14ac:dyDescent="0.25">
      <c r="K12" s="23">
        <v>20</v>
      </c>
    </row>
    <row r="13" spans="2:12" ht="12.5" x14ac:dyDescent="0.25">
      <c r="K13" s="23">
        <v>20</v>
      </c>
    </row>
    <row r="14" spans="2:12" ht="12.5" x14ac:dyDescent="0.25">
      <c r="B14" s="4" t="s">
        <v>3</v>
      </c>
      <c r="K14" s="23">
        <v>28</v>
      </c>
    </row>
    <row r="15" spans="2:12" ht="12.5" x14ac:dyDescent="0.25">
      <c r="K15" s="23">
        <v>40</v>
      </c>
    </row>
    <row r="16" spans="2:12" ht="12.5" x14ac:dyDescent="0.25">
      <c r="K16" s="23">
        <v>50</v>
      </c>
    </row>
    <row r="17" spans="1:11" ht="12.5" x14ac:dyDescent="0.25">
      <c r="K17" s="23">
        <v>60</v>
      </c>
    </row>
    <row r="18" spans="1:11" ht="12.5" x14ac:dyDescent="0.25">
      <c r="K18" s="23">
        <v>68</v>
      </c>
    </row>
    <row r="19" spans="1:11" ht="12.5" x14ac:dyDescent="0.25">
      <c r="K19" s="23">
        <v>80</v>
      </c>
    </row>
    <row r="20" spans="1:11" ht="12.5" x14ac:dyDescent="0.25">
      <c r="K20" s="23">
        <v>90</v>
      </c>
    </row>
    <row r="21" spans="1:11" ht="12.5" x14ac:dyDescent="0.25">
      <c r="K21" s="23">
        <v>120</v>
      </c>
    </row>
    <row r="22" spans="1:11" ht="12.5" outlineLevel="1" x14ac:dyDescent="0.25">
      <c r="A22" s="4" t="s">
        <v>3</v>
      </c>
      <c r="H22" s="4">
        <v>150</v>
      </c>
      <c r="K22" s="23">
        <v>150</v>
      </c>
    </row>
    <row r="23" spans="1:11" ht="12.5" x14ac:dyDescent="0.25">
      <c r="C23" s="4">
        <v>10</v>
      </c>
    </row>
    <row r="24" spans="1:11" ht="12.5" x14ac:dyDescent="0.25">
      <c r="B24" s="4"/>
      <c r="C24" s="4">
        <v>20</v>
      </c>
      <c r="D24" s="4"/>
    </row>
    <row r="25" spans="1:11" ht="12.5" x14ac:dyDescent="0.25">
      <c r="C25" s="4">
        <v>40</v>
      </c>
      <c r="J25" s="6"/>
    </row>
    <row r="26" spans="1:11" ht="12.5" x14ac:dyDescent="0.25">
      <c r="C26" s="4">
        <v>20</v>
      </c>
    </row>
    <row r="27" spans="1:11" ht="12.5" x14ac:dyDescent="0.25">
      <c r="C27" s="4">
        <v>28</v>
      </c>
    </row>
    <row r="28" spans="1:11" ht="12.5" x14ac:dyDescent="0.25">
      <c r="C28" s="4">
        <v>50</v>
      </c>
    </row>
    <row r="29" spans="1:11" ht="18" x14ac:dyDescent="0.4">
      <c r="C29" s="4">
        <v>120</v>
      </c>
      <c r="G29" s="1">
        <v>5</v>
      </c>
      <c r="H29" s="5" t="s">
        <v>4</v>
      </c>
      <c r="I29" s="5">
        <f>MEDIAN(D54:D65)</f>
        <v>55</v>
      </c>
      <c r="J29" t="s">
        <v>13</v>
      </c>
    </row>
    <row r="30" spans="1:11" ht="12.5" x14ac:dyDescent="0.25">
      <c r="C30" s="4">
        <v>80</v>
      </c>
      <c r="H30" s="5" t="s">
        <v>5</v>
      </c>
      <c r="I30" s="7">
        <f>AVERAGE(D54:D65)</f>
        <v>61.333333333333336</v>
      </c>
      <c r="J30" t="s">
        <v>14</v>
      </c>
    </row>
    <row r="31" spans="1:11" ht="12.5" x14ac:dyDescent="0.25">
      <c r="C31" s="4">
        <v>60</v>
      </c>
      <c r="H31" s="8" t="s">
        <v>6</v>
      </c>
      <c r="I31" s="8">
        <f>_xlfn.MODE.SNGL(D54:D65)</f>
        <v>20</v>
      </c>
      <c r="J31" s="15" t="s">
        <v>18</v>
      </c>
    </row>
    <row r="32" spans="1:11" ht="12.5" x14ac:dyDescent="0.25">
      <c r="C32" s="4">
        <v>68</v>
      </c>
      <c r="H32" s="9" t="s">
        <v>10</v>
      </c>
      <c r="I32" s="10">
        <f>QUARTILE(D54:D65,3)</f>
        <v>82.5</v>
      </c>
      <c r="J32" t="s">
        <v>16</v>
      </c>
    </row>
    <row r="33" spans="2:13" ht="13" x14ac:dyDescent="0.3">
      <c r="C33" s="4">
        <v>90</v>
      </c>
      <c r="H33" s="9" t="s">
        <v>11</v>
      </c>
      <c r="I33" s="10">
        <f>_xlfn.QUARTILE.INC(D54:D65,1)</f>
        <v>26</v>
      </c>
      <c r="J33" s="15" t="s">
        <v>17</v>
      </c>
    </row>
    <row r="34" spans="2:13" ht="12.5" x14ac:dyDescent="0.25">
      <c r="C34" s="4">
        <v>150</v>
      </c>
      <c r="H34" s="9" t="s">
        <v>12</v>
      </c>
      <c r="I34" s="10">
        <f>QUARTILE(D54:D65,2)</f>
        <v>55</v>
      </c>
      <c r="J34" t="s">
        <v>15</v>
      </c>
    </row>
    <row r="35" spans="2:13" ht="12.5" x14ac:dyDescent="0.25"/>
    <row r="36" spans="2:13" ht="15.75" customHeight="1" x14ac:dyDescent="0.4">
      <c r="G36" s="1">
        <v>6</v>
      </c>
      <c r="H36" s="9" t="s">
        <v>7</v>
      </c>
      <c r="I36" s="11">
        <f>_xlfn.STDEV.P(D54:D65)</f>
        <v>41.096093353126513</v>
      </c>
      <c r="J36" s="15" t="s">
        <v>34</v>
      </c>
    </row>
    <row r="37" spans="2:13" ht="12.5" x14ac:dyDescent="0.25">
      <c r="H37" s="12" t="s">
        <v>8</v>
      </c>
      <c r="I37" s="13">
        <f>_xlfn.VAR.P(D54:D65)</f>
        <v>1688.8888888888889</v>
      </c>
      <c r="J37" s="15" t="s">
        <v>178</v>
      </c>
    </row>
    <row r="38" spans="2:13" ht="15.75" customHeight="1" x14ac:dyDescent="0.25">
      <c r="H38" s="16" t="s">
        <v>20</v>
      </c>
      <c r="I38" s="10">
        <f>MAX(D54:D65)-MIN(D54:D65)</f>
        <v>140</v>
      </c>
      <c r="J38" s="15" t="s">
        <v>33</v>
      </c>
    </row>
    <row r="39" spans="2:13" ht="15.75" customHeight="1" x14ac:dyDescent="0.25">
      <c r="H39" s="17" t="s">
        <v>19</v>
      </c>
      <c r="I39" s="10">
        <f>(I32-I33)/2</f>
        <v>28.25</v>
      </c>
    </row>
    <row r="40" spans="2:13" ht="15.75" customHeight="1" x14ac:dyDescent="0.3">
      <c r="C40" s="15"/>
      <c r="H40" s="16" t="s">
        <v>21</v>
      </c>
      <c r="I40" s="18">
        <f>I36/I30</f>
        <v>0.67004500032271486</v>
      </c>
      <c r="J40" s="19" t="s">
        <v>32</v>
      </c>
      <c r="K40" s="17" t="s">
        <v>22</v>
      </c>
      <c r="L40" s="43" t="s">
        <v>31</v>
      </c>
      <c r="M40" s="44"/>
    </row>
    <row r="41" spans="2:13" ht="15.75" customHeight="1" x14ac:dyDescent="0.25">
      <c r="B41" s="15"/>
      <c r="H41" s="15" t="s">
        <v>35</v>
      </c>
      <c r="K41" s="17" t="s">
        <v>23</v>
      </c>
      <c r="L41" s="20" t="s">
        <v>27</v>
      </c>
    </row>
    <row r="42" spans="2:13" ht="15.75" customHeight="1" x14ac:dyDescent="0.25">
      <c r="K42" s="17" t="s">
        <v>24</v>
      </c>
      <c r="L42" s="17" t="s">
        <v>28</v>
      </c>
    </row>
    <row r="43" spans="2:13" ht="15.75" customHeight="1" x14ac:dyDescent="0.25">
      <c r="B43" s="15"/>
      <c r="K43" s="17" t="s">
        <v>25</v>
      </c>
      <c r="L43" s="17" t="s">
        <v>29</v>
      </c>
    </row>
    <row r="44" spans="2:13" ht="15.75" customHeight="1" x14ac:dyDescent="0.25">
      <c r="K44" s="17" t="s">
        <v>26</v>
      </c>
      <c r="L44" s="17" t="s">
        <v>30</v>
      </c>
    </row>
    <row r="47" spans="2:13" ht="15.75" customHeight="1" x14ac:dyDescent="0.25">
      <c r="H47" s="15" t="s">
        <v>36</v>
      </c>
      <c r="I47">
        <f>I32-I33</f>
        <v>56.5</v>
      </c>
      <c r="J47" s="15" t="s">
        <v>38</v>
      </c>
    </row>
    <row r="48" spans="2:13" ht="15.75" customHeight="1" x14ac:dyDescent="0.25">
      <c r="H48" s="15" t="s">
        <v>37</v>
      </c>
      <c r="I48" s="21">
        <f>I39/I29</f>
        <v>0.51363636363636367</v>
      </c>
      <c r="J48" s="15" t="s">
        <v>39</v>
      </c>
    </row>
    <row r="51" spans="4:11" ht="15.75" customHeight="1" x14ac:dyDescent="0.4">
      <c r="G51" s="1">
        <v>7</v>
      </c>
      <c r="H51" s="4" t="s">
        <v>9</v>
      </c>
    </row>
    <row r="53" spans="4:11" ht="15.75" customHeight="1" x14ac:dyDescent="0.25">
      <c r="E53" s="15" t="s">
        <v>45</v>
      </c>
      <c r="H53" s="15" t="s">
        <v>40</v>
      </c>
      <c r="I53" s="22">
        <f>SUM(E54:E65)/12</f>
        <v>50387.40740740738</v>
      </c>
      <c r="J53" s="15" t="s">
        <v>46</v>
      </c>
    </row>
    <row r="54" spans="4:11" ht="15.75" customHeight="1" x14ac:dyDescent="0.25">
      <c r="D54" s="23">
        <v>10</v>
      </c>
      <c r="E54" s="14">
        <f t="shared" ref="E54:E65" si="0">(D54-$I$30)^3</f>
        <v>-135269.03703703705</v>
      </c>
      <c r="G54">
        <f>I53/(I36)^3</f>
        <v>0.72597287694591128</v>
      </c>
      <c r="H54" s="15" t="s">
        <v>41</v>
      </c>
      <c r="I54">
        <f>_xlfn.SKEW.P(D54:D65)</f>
        <v>0.7259728769459115</v>
      </c>
      <c r="J54" s="15" t="s">
        <v>43</v>
      </c>
      <c r="K54" s="15" t="s">
        <v>44</v>
      </c>
    </row>
    <row r="55" spans="4:11" ht="15.75" customHeight="1" x14ac:dyDescent="0.25">
      <c r="D55" s="23">
        <v>20</v>
      </c>
      <c r="E55" s="14">
        <f t="shared" si="0"/>
        <v>-70615.703703703708</v>
      </c>
      <c r="H55" s="15" t="s">
        <v>42</v>
      </c>
      <c r="I55">
        <f>((I32-I29)-(I29-I33))/((I32-I29)+(I29-I33))</f>
        <v>-2.6548672566371681E-2</v>
      </c>
      <c r="J55" s="15" t="s">
        <v>47</v>
      </c>
    </row>
    <row r="56" spans="4:11" ht="15.75" customHeight="1" x14ac:dyDescent="0.25">
      <c r="D56" s="23">
        <v>20</v>
      </c>
      <c r="E56" s="14">
        <f t="shared" si="0"/>
        <v>-70615.703703703708</v>
      </c>
    </row>
    <row r="57" spans="4:11" ht="15.75" customHeight="1" x14ac:dyDescent="0.25">
      <c r="D57" s="23">
        <v>28</v>
      </c>
      <c r="E57" s="14">
        <f t="shared" si="0"/>
        <v>-37037.037037037044</v>
      </c>
      <c r="H57" s="15" t="s">
        <v>48</v>
      </c>
      <c r="I57">
        <f>KURT(K11:K22)</f>
        <v>8.3780921052632351E-2</v>
      </c>
      <c r="K57" s="15" t="s">
        <v>49</v>
      </c>
    </row>
    <row r="58" spans="4:11" ht="15.75" customHeight="1" x14ac:dyDescent="0.25">
      <c r="D58" s="23">
        <v>40</v>
      </c>
      <c r="E58" s="14">
        <f t="shared" si="0"/>
        <v>-9709.0370370370401</v>
      </c>
      <c r="K58" s="15" t="s">
        <v>50</v>
      </c>
    </row>
    <row r="59" spans="4:11" ht="15.75" customHeight="1" x14ac:dyDescent="0.25">
      <c r="D59" s="23">
        <v>50</v>
      </c>
      <c r="E59" s="14">
        <f t="shared" si="0"/>
        <v>-1455.7037037037044</v>
      </c>
      <c r="K59" s="15" t="s">
        <v>51</v>
      </c>
    </row>
    <row r="60" spans="4:11" ht="15.75" customHeight="1" x14ac:dyDescent="0.25">
      <c r="D60" s="23">
        <v>60</v>
      </c>
      <c r="E60" s="14">
        <f t="shared" si="0"/>
        <v>-2.3703703703703831</v>
      </c>
    </row>
    <row r="61" spans="4:11" ht="15.75" customHeight="1" x14ac:dyDescent="0.25">
      <c r="D61" s="23">
        <v>68</v>
      </c>
      <c r="E61" s="14">
        <f t="shared" si="0"/>
        <v>296.29629629629596</v>
      </c>
    </row>
    <row r="62" spans="4:11" ht="15.75" customHeight="1" x14ac:dyDescent="0.25">
      <c r="D62" s="23">
        <v>80</v>
      </c>
      <c r="E62" s="14">
        <f t="shared" si="0"/>
        <v>6504.2962962962938</v>
      </c>
    </row>
    <row r="63" spans="4:11" ht="15.75" customHeight="1" x14ac:dyDescent="0.25">
      <c r="D63" s="23">
        <v>90</v>
      </c>
      <c r="E63" s="14">
        <f t="shared" si="0"/>
        <v>23557.629629629624</v>
      </c>
    </row>
    <row r="64" spans="4:11" ht="15.75" customHeight="1" x14ac:dyDescent="0.25">
      <c r="D64" s="23">
        <v>120</v>
      </c>
      <c r="E64" s="14">
        <f t="shared" si="0"/>
        <v>201917.62962962961</v>
      </c>
    </row>
    <row r="65" spans="4:5" ht="15.75" customHeight="1" x14ac:dyDescent="0.25">
      <c r="D65" s="23">
        <v>150</v>
      </c>
      <c r="E65" s="14">
        <f t="shared" si="0"/>
        <v>697077.62962962943</v>
      </c>
    </row>
  </sheetData>
  <mergeCells count="1">
    <mergeCell ref="L40:M40"/>
  </mergeCells>
  <conditionalFormatting sqref="B24">
    <cfRule type="notContainsBlanks" dxfId="0" priority="1">
      <formula>LEN(TRIM(B24))&gt;0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CF75-9D10-4EC7-8702-9C804A06F1C8}">
  <dimension ref="E2:R53"/>
  <sheetViews>
    <sheetView topLeftCell="A21" zoomScale="92" workbookViewId="0">
      <selection activeCell="I42" sqref="I42"/>
    </sheetView>
  </sheetViews>
  <sheetFormatPr defaultRowHeight="12.5" x14ac:dyDescent="0.25"/>
  <cols>
    <col min="14" max="14" width="13.90625" customWidth="1"/>
    <col min="15" max="15" width="9.08984375" bestFit="1" customWidth="1"/>
    <col min="17" max="17" width="14.54296875" customWidth="1"/>
    <col min="18" max="18" width="14.1796875" customWidth="1"/>
  </cols>
  <sheetData>
    <row r="2" spans="13:18" x14ac:dyDescent="0.25">
      <c r="M2" s="15" t="s">
        <v>52</v>
      </c>
    </row>
    <row r="3" spans="13:18" x14ac:dyDescent="0.25">
      <c r="M3" s="15" t="s">
        <v>74</v>
      </c>
    </row>
    <row r="4" spans="13:18" x14ac:dyDescent="0.25">
      <c r="M4" s="15" t="s">
        <v>53</v>
      </c>
    </row>
    <row r="6" spans="13:18" ht="37.5" x14ac:dyDescent="0.25">
      <c r="M6" s="24" t="s">
        <v>54</v>
      </c>
      <c r="N6" s="24" t="s">
        <v>55</v>
      </c>
      <c r="O6" s="17" t="s">
        <v>59</v>
      </c>
      <c r="P6" s="17" t="s">
        <v>66</v>
      </c>
      <c r="Q6" s="17" t="s">
        <v>79</v>
      </c>
      <c r="R6" s="17" t="s">
        <v>90</v>
      </c>
    </row>
    <row r="7" spans="13:18" x14ac:dyDescent="0.25">
      <c r="M7" s="10">
        <v>0</v>
      </c>
      <c r="N7" s="10">
        <v>10</v>
      </c>
      <c r="O7" s="10">
        <f>M7*N7</f>
        <v>0</v>
      </c>
      <c r="P7" s="10">
        <v>10</v>
      </c>
      <c r="Q7" s="10">
        <f>N7*(M7-$N$19)^2</f>
        <v>37.056250000000006</v>
      </c>
      <c r="R7" s="10">
        <f>N7*(M7-$N$19)^3</f>
        <v>-71.333281250000013</v>
      </c>
    </row>
    <row r="8" spans="13:18" x14ac:dyDescent="0.25">
      <c r="M8" s="10">
        <v>1</v>
      </c>
      <c r="N8" s="10">
        <v>20</v>
      </c>
      <c r="O8" s="10">
        <f t="shared" ref="O8:O11" si="0">M8*N8</f>
        <v>20</v>
      </c>
      <c r="P8" s="10">
        <v>30</v>
      </c>
      <c r="Q8" s="10">
        <f t="shared" ref="Q8:Q11" si="1">N8*(M8-$N$19)^2</f>
        <v>17.112500000000001</v>
      </c>
      <c r="R8" s="10">
        <f t="shared" ref="R8:R11" si="2">N8*(M8-$N$19)^3</f>
        <v>-15.829062500000003</v>
      </c>
    </row>
    <row r="9" spans="13:18" x14ac:dyDescent="0.25">
      <c r="M9" s="10">
        <v>2</v>
      </c>
      <c r="N9" s="10">
        <v>150</v>
      </c>
      <c r="O9" s="10">
        <f t="shared" si="0"/>
        <v>300</v>
      </c>
      <c r="P9" s="10">
        <v>180</v>
      </c>
      <c r="Q9" s="10">
        <f t="shared" si="1"/>
        <v>0.84374999999999911</v>
      </c>
      <c r="R9" s="10">
        <f t="shared" si="2"/>
        <v>6.32812499999999E-2</v>
      </c>
    </row>
    <row r="10" spans="13:18" x14ac:dyDescent="0.25">
      <c r="M10" s="10">
        <v>3</v>
      </c>
      <c r="N10" s="10">
        <v>15</v>
      </c>
      <c r="O10" s="10">
        <f t="shared" si="0"/>
        <v>45</v>
      </c>
      <c r="P10" s="10">
        <v>195</v>
      </c>
      <c r="Q10" s="10">
        <f t="shared" si="1"/>
        <v>17.334374999999998</v>
      </c>
      <c r="R10" s="10">
        <f t="shared" si="2"/>
        <v>18.634453124999997</v>
      </c>
    </row>
    <row r="11" spans="13:18" x14ac:dyDescent="0.25">
      <c r="M11" s="10">
        <v>4</v>
      </c>
      <c r="N11" s="10">
        <v>5</v>
      </c>
      <c r="O11" s="10">
        <f t="shared" si="0"/>
        <v>20</v>
      </c>
      <c r="P11" s="10">
        <v>200</v>
      </c>
      <c r="Q11" s="10">
        <f t="shared" si="1"/>
        <v>21.528125000000003</v>
      </c>
      <c r="R11" s="10">
        <f t="shared" si="2"/>
        <v>44.670859375000013</v>
      </c>
    </row>
    <row r="12" spans="13:18" x14ac:dyDescent="0.25">
      <c r="M12" s="15" t="s">
        <v>56</v>
      </c>
      <c r="N12">
        <f>SUM(N7:N11)</f>
        <v>200</v>
      </c>
      <c r="Q12">
        <f>SUM(Q7:Q11)</f>
        <v>93.875</v>
      </c>
      <c r="R12">
        <f>SUM(R7:R11)</f>
        <v>-23.79375000000001</v>
      </c>
    </row>
    <row r="17" spans="5:15" ht="13" x14ac:dyDescent="0.3">
      <c r="M17" s="25" t="s">
        <v>57</v>
      </c>
    </row>
    <row r="18" spans="5:15" x14ac:dyDescent="0.25">
      <c r="M18" s="15" t="s">
        <v>61</v>
      </c>
    </row>
    <row r="19" spans="5:15" x14ac:dyDescent="0.25">
      <c r="M19" s="15" t="s">
        <v>58</v>
      </c>
      <c r="N19">
        <f>SUM(O7:O11)/SUM(N7:N11)</f>
        <v>1.925</v>
      </c>
      <c r="O19" s="15" t="s">
        <v>60</v>
      </c>
    </row>
    <row r="21" spans="5:15" x14ac:dyDescent="0.25">
      <c r="M21" s="15" t="s">
        <v>62</v>
      </c>
    </row>
    <row r="22" spans="5:15" x14ac:dyDescent="0.25">
      <c r="M22" s="15" t="s">
        <v>63</v>
      </c>
      <c r="N22">
        <v>2</v>
      </c>
    </row>
    <row r="23" spans="5:15" x14ac:dyDescent="0.25">
      <c r="M23" s="15" t="s">
        <v>64</v>
      </c>
      <c r="N23">
        <v>2</v>
      </c>
      <c r="O23" s="15" t="s">
        <v>71</v>
      </c>
    </row>
    <row r="24" spans="5:15" x14ac:dyDescent="0.25">
      <c r="M24" s="15" t="s">
        <v>65</v>
      </c>
      <c r="N24" s="15">
        <f>0.25 * 201</f>
        <v>50.25</v>
      </c>
    </row>
    <row r="25" spans="5:15" x14ac:dyDescent="0.25">
      <c r="M25" s="15" t="s">
        <v>67</v>
      </c>
      <c r="N25">
        <v>2</v>
      </c>
      <c r="O25" s="15" t="s">
        <v>72</v>
      </c>
    </row>
    <row r="26" spans="5:15" x14ac:dyDescent="0.25">
      <c r="M26" s="15" t="s">
        <v>68</v>
      </c>
      <c r="N26" s="15">
        <f>0.5 * 201</f>
        <v>100.5</v>
      </c>
    </row>
    <row r="27" spans="5:15" x14ac:dyDescent="0.25">
      <c r="M27" s="15" t="s">
        <v>69</v>
      </c>
      <c r="N27">
        <v>2</v>
      </c>
    </row>
    <row r="28" spans="5:15" x14ac:dyDescent="0.25">
      <c r="M28" s="15" t="s">
        <v>70</v>
      </c>
      <c r="N28">
        <f>0.75*201</f>
        <v>150.75</v>
      </c>
      <c r="O28" s="15" t="s">
        <v>73</v>
      </c>
    </row>
    <row r="29" spans="5:15" x14ac:dyDescent="0.25">
      <c r="E29" s="15"/>
    </row>
    <row r="31" spans="5:15" ht="13" x14ac:dyDescent="0.3">
      <c r="M31" s="25" t="s">
        <v>75</v>
      </c>
    </row>
    <row r="32" spans="5:15" x14ac:dyDescent="0.25">
      <c r="M32" s="15" t="s">
        <v>61</v>
      </c>
    </row>
    <row r="33" spans="13:17" x14ac:dyDescent="0.25">
      <c r="M33" s="15" t="s">
        <v>8</v>
      </c>
      <c r="N33" s="15"/>
      <c r="O33">
        <f>Q12/200</f>
        <v>0.46937499999999999</v>
      </c>
    </row>
    <row r="35" spans="13:17" x14ac:dyDescent="0.25">
      <c r="M35" s="15" t="s">
        <v>78</v>
      </c>
      <c r="O35">
        <f>M11-0</f>
        <v>4</v>
      </c>
    </row>
    <row r="37" spans="13:17" x14ac:dyDescent="0.25">
      <c r="M37" s="15" t="s">
        <v>76</v>
      </c>
      <c r="O37">
        <f>SQRT(O33)</f>
        <v>0.68510948030223606</v>
      </c>
      <c r="P37" s="15" t="s">
        <v>81</v>
      </c>
    </row>
    <row r="39" spans="13:17" x14ac:dyDescent="0.25">
      <c r="M39" s="15" t="s">
        <v>77</v>
      </c>
      <c r="O39">
        <f>O37/N19</f>
        <v>0.35590102872843432</v>
      </c>
      <c r="P39" s="15" t="s">
        <v>80</v>
      </c>
    </row>
    <row r="41" spans="13:17" x14ac:dyDescent="0.25">
      <c r="M41" s="15" t="s">
        <v>62</v>
      </c>
    </row>
    <row r="42" spans="13:17" x14ac:dyDescent="0.25">
      <c r="M42" s="15" t="s">
        <v>84</v>
      </c>
      <c r="O42">
        <f>O43/N25</f>
        <v>0</v>
      </c>
    </row>
    <row r="43" spans="13:17" x14ac:dyDescent="0.25">
      <c r="M43" s="15" t="s">
        <v>82</v>
      </c>
      <c r="O43">
        <f>O44/2</f>
        <v>0</v>
      </c>
    </row>
    <row r="44" spans="13:17" x14ac:dyDescent="0.25">
      <c r="M44" s="15" t="s">
        <v>83</v>
      </c>
      <c r="O44">
        <f>N27-N23</f>
        <v>0</v>
      </c>
      <c r="P44" s="15" t="s">
        <v>85</v>
      </c>
      <c r="Q44" s="15" t="s">
        <v>86</v>
      </c>
    </row>
    <row r="47" spans="13:17" ht="13" x14ac:dyDescent="0.3">
      <c r="M47" s="25" t="s">
        <v>87</v>
      </c>
    </row>
    <row r="48" spans="13:17" x14ac:dyDescent="0.25">
      <c r="M48" s="15" t="s">
        <v>61</v>
      </c>
    </row>
    <row r="49" spans="13:17" x14ac:dyDescent="0.25">
      <c r="M49" s="15" t="s">
        <v>88</v>
      </c>
      <c r="P49">
        <f>R12/200</f>
        <v>-0.11896875000000005</v>
      </c>
    </row>
    <row r="50" spans="13:17" x14ac:dyDescent="0.25">
      <c r="M50" s="15" t="s">
        <v>89</v>
      </c>
      <c r="P50">
        <f>P49/O37^3</f>
        <v>-0.36995846340848526</v>
      </c>
      <c r="Q50" s="15" t="s">
        <v>93</v>
      </c>
    </row>
    <row r="52" spans="13:17" x14ac:dyDescent="0.25">
      <c r="M52" s="15" t="s">
        <v>91</v>
      </c>
    </row>
    <row r="53" spans="13:17" x14ac:dyDescent="0.25">
      <c r="M53" s="15" t="s">
        <v>92</v>
      </c>
      <c r="O53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0D8A7-A342-4641-984A-7ACE5CC9B225}">
  <dimension ref="M14:W66"/>
  <sheetViews>
    <sheetView topLeftCell="G1" zoomScale="89" zoomScaleNormal="100" workbookViewId="0">
      <selection activeCell="T69" sqref="T69"/>
    </sheetView>
  </sheetViews>
  <sheetFormatPr defaultRowHeight="12.5" x14ac:dyDescent="0.25"/>
  <cols>
    <col min="13" max="13" width="12.54296875" customWidth="1"/>
    <col min="14" max="14" width="12.6328125" customWidth="1"/>
    <col min="19" max="19" width="11.81640625" customWidth="1"/>
    <col min="20" max="20" width="13.1796875" customWidth="1"/>
    <col min="21" max="21" width="34.36328125" customWidth="1"/>
    <col min="22" max="22" width="18.81640625" customWidth="1"/>
  </cols>
  <sheetData>
    <row r="14" spans="13:23" x14ac:dyDescent="0.25">
      <c r="M14" s="15" t="s">
        <v>102</v>
      </c>
    </row>
    <row r="15" spans="13:23" x14ac:dyDescent="0.25">
      <c r="M15" s="15" t="s">
        <v>103</v>
      </c>
      <c r="S15" s="17" t="s">
        <v>100</v>
      </c>
      <c r="T15" s="17" t="s">
        <v>101</v>
      </c>
      <c r="U15" s="17" t="s">
        <v>104</v>
      </c>
      <c r="V15" s="17" t="s">
        <v>105</v>
      </c>
      <c r="W15" s="32" t="s">
        <v>66</v>
      </c>
    </row>
    <row r="16" spans="13:23" x14ac:dyDescent="0.25">
      <c r="S16" s="17" t="s">
        <v>94</v>
      </c>
      <c r="T16" s="10">
        <v>5</v>
      </c>
      <c r="U16" s="27">
        <v>5</v>
      </c>
      <c r="V16" s="27">
        <f>U16*T16</f>
        <v>25</v>
      </c>
      <c r="W16" s="27">
        <v>5</v>
      </c>
    </row>
    <row r="17" spans="13:23" x14ac:dyDescent="0.25">
      <c r="S17" s="26" t="s">
        <v>95</v>
      </c>
      <c r="T17" s="10">
        <v>50</v>
      </c>
      <c r="U17" s="27">
        <v>15</v>
      </c>
      <c r="V17" s="27">
        <f t="shared" ref="V17:V20" si="0">U17*T17</f>
        <v>750</v>
      </c>
      <c r="W17" s="27">
        <v>55</v>
      </c>
    </row>
    <row r="18" spans="13:23" x14ac:dyDescent="0.25">
      <c r="S18" s="17" t="s">
        <v>96</v>
      </c>
      <c r="T18" s="10">
        <v>100</v>
      </c>
      <c r="U18" s="27">
        <v>25</v>
      </c>
      <c r="V18" s="27">
        <f t="shared" si="0"/>
        <v>2500</v>
      </c>
      <c r="W18" s="27">
        <v>155</v>
      </c>
    </row>
    <row r="19" spans="13:23" x14ac:dyDescent="0.25">
      <c r="S19" s="29" t="s">
        <v>97</v>
      </c>
      <c r="T19" s="30">
        <v>150</v>
      </c>
      <c r="U19" s="31">
        <v>35</v>
      </c>
      <c r="V19" s="31">
        <f t="shared" si="0"/>
        <v>5250</v>
      </c>
      <c r="W19" s="27">
        <v>305</v>
      </c>
    </row>
    <row r="20" spans="13:23" x14ac:dyDescent="0.25">
      <c r="S20" s="17" t="s">
        <v>98</v>
      </c>
      <c r="T20" s="10">
        <v>5</v>
      </c>
      <c r="U20" s="27">
        <v>45</v>
      </c>
      <c r="V20" s="27">
        <f t="shared" si="0"/>
        <v>225</v>
      </c>
      <c r="W20" s="27">
        <v>310</v>
      </c>
    </row>
    <row r="21" spans="13:23" x14ac:dyDescent="0.25">
      <c r="S21" s="17" t="s">
        <v>99</v>
      </c>
      <c r="T21" s="10">
        <f>SUM(T16:T20)</f>
        <v>310</v>
      </c>
      <c r="U21" s="27">
        <f>SUM(U16:U20)</f>
        <v>125</v>
      </c>
      <c r="V21" s="27">
        <f>SUM(V16:V20)</f>
        <v>8750</v>
      </c>
      <c r="W21" s="10"/>
    </row>
    <row r="25" spans="13:23" x14ac:dyDescent="0.25">
      <c r="S25" s="15" t="s">
        <v>106</v>
      </c>
      <c r="T25" s="28">
        <f>V21/T21</f>
        <v>28.225806451612904</v>
      </c>
    </row>
    <row r="26" spans="13:23" x14ac:dyDescent="0.25">
      <c r="S26" s="15"/>
    </row>
    <row r="27" spans="13:23" x14ac:dyDescent="0.25">
      <c r="S27" s="15" t="s">
        <v>110</v>
      </c>
      <c r="T27" s="15" t="s">
        <v>108</v>
      </c>
    </row>
    <row r="28" spans="13:23" x14ac:dyDescent="0.25">
      <c r="S28" s="15" t="s">
        <v>111</v>
      </c>
      <c r="T28" s="15" t="s">
        <v>109</v>
      </c>
    </row>
    <row r="29" spans="13:23" x14ac:dyDescent="0.25">
      <c r="S29" s="15" t="s">
        <v>112</v>
      </c>
      <c r="T29" s="15" t="s">
        <v>113</v>
      </c>
    </row>
    <row r="30" spans="13:23" x14ac:dyDescent="0.25">
      <c r="S30" s="15" t="s">
        <v>114</v>
      </c>
      <c r="T30" s="15" t="s">
        <v>115</v>
      </c>
    </row>
    <row r="31" spans="13:23" x14ac:dyDescent="0.25">
      <c r="M31" s="15" t="s">
        <v>137</v>
      </c>
      <c r="N31" s="15" t="s">
        <v>128</v>
      </c>
      <c r="O31" t="s">
        <v>121</v>
      </c>
      <c r="P31" t="s">
        <v>122</v>
      </c>
      <c r="S31" s="15" t="s">
        <v>117</v>
      </c>
      <c r="T31" s="15" t="s">
        <v>118</v>
      </c>
    </row>
    <row r="32" spans="13:23" x14ac:dyDescent="0.25">
      <c r="M32" s="28">
        <f>(O32^4)*T16</f>
        <v>1454967.2395105255</v>
      </c>
      <c r="N32">
        <f>(O32^3)*T16</f>
        <v>-62644.422812258745</v>
      </c>
      <c r="O32" s="28">
        <f>U16-$T$25</f>
        <v>-23.225806451612904</v>
      </c>
      <c r="P32">
        <f>(O32^2)*T16</f>
        <v>2697.1904266389179</v>
      </c>
    </row>
    <row r="33" spans="13:20" x14ac:dyDescent="0.25">
      <c r="M33" s="28">
        <f t="shared" ref="M33:M36" si="1">(O33^4)*T17</f>
        <v>1529884.539712687</v>
      </c>
      <c r="N33">
        <f>(O33^3)*T17</f>
        <v>-115674.19690510561</v>
      </c>
      <c r="O33" s="28">
        <f t="shared" ref="O33:O36" si="2">U17-$T$25</f>
        <v>-13.225806451612904</v>
      </c>
      <c r="P33">
        <f t="shared" ref="P33:P36" si="3">(O33^2)*T17</f>
        <v>8746.0978147762762</v>
      </c>
      <c r="S33" s="15" t="s">
        <v>107</v>
      </c>
      <c r="T33">
        <f>30+10*(150-100)/((150-100) + (150+5))</f>
        <v>32.439024390243901</v>
      </c>
    </row>
    <row r="34" spans="13:20" x14ac:dyDescent="0.25">
      <c r="M34" s="28">
        <f t="shared" si="1"/>
        <v>10828.124103295984</v>
      </c>
      <c r="N34">
        <f>(O34^3)*T18</f>
        <v>-3356.7184720217538</v>
      </c>
      <c r="O34" s="28">
        <f t="shared" si="2"/>
        <v>-3.2258064516129039</v>
      </c>
      <c r="P34">
        <f t="shared" si="3"/>
        <v>1040.5827263267436</v>
      </c>
    </row>
    <row r="35" spans="13:20" x14ac:dyDescent="0.25">
      <c r="M35" s="28">
        <f t="shared" si="1"/>
        <v>315879.66055996547</v>
      </c>
      <c r="N35">
        <f>(O35^3)*T19</f>
        <v>46629.854654090144</v>
      </c>
      <c r="O35" s="28">
        <f t="shared" si="2"/>
        <v>6.7741935483870961</v>
      </c>
      <c r="P35">
        <f t="shared" si="3"/>
        <v>6883.4547346514037</v>
      </c>
      <c r="S35" s="15" t="s">
        <v>64</v>
      </c>
      <c r="T35">
        <f>(10/100)*(T36-W17)+20</f>
        <v>22.25</v>
      </c>
    </row>
    <row r="36" spans="13:20" x14ac:dyDescent="0.25">
      <c r="M36" s="28">
        <f t="shared" si="1"/>
        <v>395855.42721822241</v>
      </c>
      <c r="N36">
        <f>(O36^3)*T20</f>
        <v>23599.073545701722</v>
      </c>
      <c r="O36" s="28">
        <f t="shared" si="2"/>
        <v>16.774193548387096</v>
      </c>
      <c r="P36">
        <f t="shared" si="3"/>
        <v>1406.8678459937564</v>
      </c>
      <c r="R36" s="15" t="s">
        <v>116</v>
      </c>
      <c r="S36" s="15" t="s">
        <v>65</v>
      </c>
      <c r="T36">
        <f>0.25*T21</f>
        <v>77.5</v>
      </c>
    </row>
    <row r="37" spans="13:20" x14ac:dyDescent="0.25">
      <c r="O37" s="28"/>
      <c r="S37" s="15" t="s">
        <v>67</v>
      </c>
      <c r="T37">
        <f>(10/100)*(155-55)+20</f>
        <v>30</v>
      </c>
    </row>
    <row r="38" spans="13:20" x14ac:dyDescent="0.25">
      <c r="O38" s="28"/>
      <c r="S38" s="33" t="s">
        <v>119</v>
      </c>
      <c r="T38" s="15">
        <f>0.5*310</f>
        <v>155</v>
      </c>
    </row>
    <row r="39" spans="13:20" x14ac:dyDescent="0.25">
      <c r="S39" s="15" t="s">
        <v>69</v>
      </c>
      <c r="T39" s="15">
        <f>30+(T40-W18)*(10/150)</f>
        <v>35.166666666666664</v>
      </c>
    </row>
    <row r="40" spans="13:20" x14ac:dyDescent="0.25">
      <c r="S40" s="15" t="s">
        <v>120</v>
      </c>
      <c r="T40">
        <f>0.75*310</f>
        <v>232.5</v>
      </c>
    </row>
    <row r="43" spans="13:20" x14ac:dyDescent="0.25">
      <c r="S43" t="s">
        <v>75</v>
      </c>
    </row>
    <row r="44" spans="13:20" x14ac:dyDescent="0.25">
      <c r="S44" t="s">
        <v>8</v>
      </c>
      <c r="T44">
        <f>SUM(P32:P37)/T21</f>
        <v>67.013527575442254</v>
      </c>
    </row>
    <row r="45" spans="13:20" x14ac:dyDescent="0.25">
      <c r="R45" t="s">
        <v>123</v>
      </c>
      <c r="T45">
        <f>SQRT(T44)</f>
        <v>8.1861790583545293</v>
      </c>
    </row>
    <row r="46" spans="13:20" x14ac:dyDescent="0.25">
      <c r="S46" t="s">
        <v>83</v>
      </c>
      <c r="T46">
        <f>50-0</f>
        <v>50</v>
      </c>
    </row>
    <row r="47" spans="13:20" x14ac:dyDescent="0.25">
      <c r="S47" t="s">
        <v>125</v>
      </c>
      <c r="T47">
        <f>T45/T25</f>
        <v>0.29002462949598901</v>
      </c>
    </row>
    <row r="51" spans="19:20" x14ac:dyDescent="0.25">
      <c r="S51" t="s">
        <v>83</v>
      </c>
      <c r="T51">
        <f>T39-T35</f>
        <v>12.916666666666664</v>
      </c>
    </row>
    <row r="52" spans="19:20" x14ac:dyDescent="0.25">
      <c r="S52" t="s">
        <v>124</v>
      </c>
      <c r="T52">
        <f>T51/2</f>
        <v>6.4583333333333321</v>
      </c>
    </row>
    <row r="53" spans="19:20" x14ac:dyDescent="0.25">
      <c r="S53" t="s">
        <v>125</v>
      </c>
      <c r="T53">
        <f>T52/T37</f>
        <v>0.21527777777777773</v>
      </c>
    </row>
    <row r="55" spans="19:20" x14ac:dyDescent="0.25">
      <c r="S55" t="s">
        <v>126</v>
      </c>
    </row>
    <row r="57" spans="19:20" x14ac:dyDescent="0.25">
      <c r="S57" t="s">
        <v>127</v>
      </c>
      <c r="T57">
        <f>SUM(N32:N36)/310</f>
        <v>-359.50454835352974</v>
      </c>
    </row>
    <row r="58" spans="19:20" x14ac:dyDescent="0.25">
      <c r="S58" t="s">
        <v>129</v>
      </c>
      <c r="T58">
        <f>T57/(T45^3)</f>
        <v>-0.6553309356227307</v>
      </c>
    </row>
    <row r="60" spans="19:20" x14ac:dyDescent="0.25">
      <c r="S60" t="s">
        <v>130</v>
      </c>
      <c r="T60">
        <f>((T39-T37)-(T37-T35))/((T39-T37)+(T37-T35))</f>
        <v>-0.20000000000000023</v>
      </c>
    </row>
    <row r="62" spans="19:20" x14ac:dyDescent="0.25">
      <c r="S62" t="s">
        <v>131</v>
      </c>
      <c r="T62">
        <f>(T25-T33)/T45</f>
        <v>-0.51467453968419286</v>
      </c>
    </row>
    <row r="65" spans="19:20" x14ac:dyDescent="0.25">
      <c r="T65" s="35">
        <f>SUM(M32:M36)/T21</f>
        <v>11959.403197111924</v>
      </c>
    </row>
    <row r="66" spans="19:20" x14ac:dyDescent="0.25">
      <c r="S66" s="15" t="s">
        <v>132</v>
      </c>
      <c r="T66">
        <f>T65/T45^4</f>
        <v>2.6630820570194045</v>
      </c>
    </row>
  </sheetData>
  <hyperlinks>
    <hyperlink ref="S38" r:id="rId1" display="pozQ@" xr:uid="{151E6C3F-43EF-43CC-8B67-EEC68C50057B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F9D6F-3BEE-4FB8-B392-4BAE66F40BEA}">
  <dimension ref="A1:L61"/>
  <sheetViews>
    <sheetView topLeftCell="A38" zoomScale="62" workbookViewId="0">
      <selection activeCell="E59" sqref="E59"/>
    </sheetView>
  </sheetViews>
  <sheetFormatPr defaultRowHeight="12.5" x14ac:dyDescent="0.25"/>
  <cols>
    <col min="1" max="1" width="23.36328125" customWidth="1"/>
    <col min="2" max="2" width="15.1796875" customWidth="1"/>
    <col min="6" max="6" width="8.90625" customWidth="1"/>
  </cols>
  <sheetData>
    <row r="1" spans="1:12" ht="13" thickBot="1" x14ac:dyDescent="0.3">
      <c r="A1" s="37" t="s">
        <v>100</v>
      </c>
      <c r="B1" s="37" t="s">
        <v>139</v>
      </c>
    </row>
    <row r="2" spans="1:12" ht="13" thickBot="1" x14ac:dyDescent="0.3">
      <c r="A2" s="39" t="s">
        <v>133</v>
      </c>
      <c r="B2" s="39" t="s">
        <v>134</v>
      </c>
      <c r="C2" s="15" t="s">
        <v>142</v>
      </c>
      <c r="D2" s="15" t="s">
        <v>143</v>
      </c>
      <c r="E2" s="37" t="s">
        <v>146</v>
      </c>
      <c r="F2" s="15" t="s">
        <v>161</v>
      </c>
      <c r="G2" s="15" t="s">
        <v>162</v>
      </c>
    </row>
    <row r="3" spans="1:12" ht="13" thickBot="1" x14ac:dyDescent="0.3">
      <c r="A3" s="36">
        <v>2</v>
      </c>
      <c r="B3" s="36">
        <v>4</v>
      </c>
      <c r="C3">
        <f>A3-$B$15</f>
        <v>-1.7999999999999998</v>
      </c>
      <c r="D3">
        <f>B3-$B$16</f>
        <v>-7</v>
      </c>
      <c r="E3">
        <f>C3*D3</f>
        <v>12.599999999999998</v>
      </c>
      <c r="F3">
        <f>4.59*A3-6.449</f>
        <v>2.7309999999999999</v>
      </c>
      <c r="G3">
        <f>(B3-F3)^2</f>
        <v>1.6103610000000004</v>
      </c>
      <c r="K3" s="15" t="s">
        <v>135</v>
      </c>
    </row>
    <row r="4" spans="1:12" ht="13" thickBot="1" x14ac:dyDescent="0.3">
      <c r="A4" s="36">
        <v>4</v>
      </c>
      <c r="B4" s="36">
        <v>8</v>
      </c>
      <c r="C4">
        <f t="shared" ref="C4:C12" si="0">A4-$B$15</f>
        <v>0.20000000000000018</v>
      </c>
      <c r="D4">
        <f t="shared" ref="D4:D12" si="1">B4-$B$16</f>
        <v>-3</v>
      </c>
      <c r="E4">
        <f t="shared" ref="E4:E12" si="2">C4*D4</f>
        <v>-0.60000000000000053</v>
      </c>
      <c r="F4">
        <f t="shared" ref="F4:F12" si="3">4.59*A4-6.449</f>
        <v>11.911</v>
      </c>
      <c r="G4">
        <f t="shared" ref="G4:G12" si="4">(B4-F4)^2</f>
        <v>15.295920999999996</v>
      </c>
    </row>
    <row r="5" spans="1:12" ht="13" thickBot="1" x14ac:dyDescent="0.3">
      <c r="A5" s="36">
        <v>2</v>
      </c>
      <c r="B5" s="36">
        <v>8</v>
      </c>
      <c r="C5">
        <f t="shared" si="0"/>
        <v>-1.7999999999999998</v>
      </c>
      <c r="D5">
        <f t="shared" si="1"/>
        <v>-3</v>
      </c>
      <c r="E5">
        <f t="shared" si="2"/>
        <v>5.3999999999999995</v>
      </c>
      <c r="F5">
        <f t="shared" si="3"/>
        <v>2.7309999999999999</v>
      </c>
      <c r="G5">
        <f t="shared" si="4"/>
        <v>27.762361000000002</v>
      </c>
      <c r="L5" s="15" t="s">
        <v>136</v>
      </c>
    </row>
    <row r="6" spans="1:12" ht="13" thickBot="1" x14ac:dyDescent="0.3">
      <c r="A6" s="36">
        <v>6</v>
      </c>
      <c r="B6" s="36">
        <v>16</v>
      </c>
      <c r="C6">
        <f t="shared" si="0"/>
        <v>2.2000000000000002</v>
      </c>
      <c r="D6">
        <f t="shared" si="1"/>
        <v>5</v>
      </c>
      <c r="E6">
        <f t="shared" si="2"/>
        <v>11</v>
      </c>
      <c r="F6">
        <f t="shared" si="3"/>
        <v>21.091000000000001</v>
      </c>
      <c r="G6">
        <f t="shared" si="4"/>
        <v>25.918281000000011</v>
      </c>
    </row>
    <row r="7" spans="1:12" ht="13" thickBot="1" x14ac:dyDescent="0.3">
      <c r="A7" s="36">
        <v>4</v>
      </c>
      <c r="B7" s="36">
        <v>4</v>
      </c>
      <c r="C7">
        <f t="shared" si="0"/>
        <v>0.20000000000000018</v>
      </c>
      <c r="D7">
        <f t="shared" si="1"/>
        <v>-7</v>
      </c>
      <c r="E7">
        <f t="shared" si="2"/>
        <v>-1.4000000000000012</v>
      </c>
      <c r="F7">
        <f t="shared" si="3"/>
        <v>11.911</v>
      </c>
      <c r="G7">
        <f t="shared" si="4"/>
        <v>62.583920999999997</v>
      </c>
    </row>
    <row r="8" spans="1:12" ht="13" thickBot="1" x14ac:dyDescent="0.3">
      <c r="A8" s="36">
        <v>2</v>
      </c>
      <c r="B8" s="36">
        <v>2</v>
      </c>
      <c r="C8">
        <f t="shared" si="0"/>
        <v>-1.7999999999999998</v>
      </c>
      <c r="D8">
        <f t="shared" si="1"/>
        <v>-9</v>
      </c>
      <c r="E8">
        <f t="shared" si="2"/>
        <v>16.2</v>
      </c>
      <c r="F8">
        <f t="shared" si="3"/>
        <v>2.7309999999999999</v>
      </c>
      <c r="G8">
        <f t="shared" si="4"/>
        <v>0.53436099999999986</v>
      </c>
      <c r="H8" s="34"/>
    </row>
    <row r="9" spans="1:12" ht="13" thickBot="1" x14ac:dyDescent="0.3">
      <c r="A9" s="36">
        <v>4</v>
      </c>
      <c r="B9" s="36">
        <v>8</v>
      </c>
      <c r="C9">
        <f t="shared" si="0"/>
        <v>0.20000000000000018</v>
      </c>
      <c r="D9">
        <f t="shared" si="1"/>
        <v>-3</v>
      </c>
      <c r="E9">
        <f t="shared" si="2"/>
        <v>-0.60000000000000053</v>
      </c>
      <c r="F9">
        <f t="shared" si="3"/>
        <v>11.911</v>
      </c>
      <c r="G9">
        <f t="shared" si="4"/>
        <v>15.295920999999996</v>
      </c>
    </row>
    <row r="10" spans="1:12" ht="13" thickBot="1" x14ac:dyDescent="0.3">
      <c r="A10" s="36">
        <v>4</v>
      </c>
      <c r="B10" s="36">
        <v>16</v>
      </c>
      <c r="C10">
        <f t="shared" si="0"/>
        <v>0.20000000000000018</v>
      </c>
      <c r="D10">
        <f t="shared" si="1"/>
        <v>5</v>
      </c>
      <c r="E10">
        <f t="shared" si="2"/>
        <v>1.0000000000000009</v>
      </c>
      <c r="F10">
        <f t="shared" si="3"/>
        <v>11.911</v>
      </c>
      <c r="G10">
        <f t="shared" si="4"/>
        <v>16.719921000000003</v>
      </c>
    </row>
    <row r="11" spans="1:12" ht="13" thickBot="1" x14ac:dyDescent="0.3">
      <c r="A11" s="36">
        <v>4</v>
      </c>
      <c r="B11" s="36">
        <v>12</v>
      </c>
      <c r="C11">
        <f t="shared" si="0"/>
        <v>0.20000000000000018</v>
      </c>
      <c r="D11">
        <f t="shared" si="1"/>
        <v>1</v>
      </c>
      <c r="E11">
        <f t="shared" si="2"/>
        <v>0.20000000000000018</v>
      </c>
      <c r="F11">
        <f t="shared" si="3"/>
        <v>11.911</v>
      </c>
      <c r="G11">
        <f t="shared" si="4"/>
        <v>7.9210000000000738E-3</v>
      </c>
    </row>
    <row r="12" spans="1:12" ht="13" thickBot="1" x14ac:dyDescent="0.3">
      <c r="A12" s="36">
        <v>6</v>
      </c>
      <c r="B12" s="36">
        <v>32</v>
      </c>
      <c r="C12">
        <f t="shared" si="0"/>
        <v>2.2000000000000002</v>
      </c>
      <c r="D12">
        <f t="shared" si="1"/>
        <v>21</v>
      </c>
      <c r="E12">
        <f t="shared" si="2"/>
        <v>46.2</v>
      </c>
      <c r="F12">
        <f t="shared" si="3"/>
        <v>21.091000000000001</v>
      </c>
      <c r="G12">
        <f t="shared" si="4"/>
        <v>119.00628099999997</v>
      </c>
    </row>
    <row r="13" spans="1:12" x14ac:dyDescent="0.25">
      <c r="E13">
        <f>SUM(E3:E12)</f>
        <v>90</v>
      </c>
      <c r="G13">
        <f>SUM(G3:G12)</f>
        <v>284.73524999999995</v>
      </c>
    </row>
    <row r="15" spans="1:12" x14ac:dyDescent="0.25">
      <c r="A15" s="15" t="s">
        <v>140</v>
      </c>
      <c r="B15">
        <f>AVERAGE(A3:A12)</f>
        <v>3.8</v>
      </c>
    </row>
    <row r="16" spans="1:12" x14ac:dyDescent="0.25">
      <c r="A16" s="15" t="s">
        <v>141</v>
      </c>
      <c r="B16">
        <f>AVERAGE(B3:B12)</f>
        <v>11</v>
      </c>
    </row>
    <row r="18" spans="1:2" x14ac:dyDescent="0.25">
      <c r="A18" s="15" t="s">
        <v>144</v>
      </c>
      <c r="B18">
        <f>STDEVP(A3:A12)</f>
        <v>1.4</v>
      </c>
    </row>
    <row r="19" spans="1:2" x14ac:dyDescent="0.25">
      <c r="A19" s="15" t="s">
        <v>145</v>
      </c>
      <c r="B19" s="38">
        <f>STDEVP(B3:B12)</f>
        <v>8.3546394296821695</v>
      </c>
    </row>
    <row r="23" spans="1:2" x14ac:dyDescent="0.25">
      <c r="A23" s="15" t="s">
        <v>138</v>
      </c>
      <c r="B23" s="15" t="s">
        <v>147</v>
      </c>
    </row>
    <row r="24" spans="1:2" x14ac:dyDescent="0.25">
      <c r="A24">
        <f>B24/(B18*B19)</f>
        <v>0.76946126552537375</v>
      </c>
      <c r="B24">
        <f>E13/10</f>
        <v>9</v>
      </c>
    </row>
    <row r="26" spans="1:2" x14ac:dyDescent="0.25">
      <c r="A26" s="15" t="s">
        <v>148</v>
      </c>
      <c r="B26">
        <f>PEARSON(A3:A12,B3:B12)</f>
        <v>0.76946126552537364</v>
      </c>
    </row>
    <row r="28" spans="1:2" x14ac:dyDescent="0.25">
      <c r="A28" s="15" t="s">
        <v>149</v>
      </c>
    </row>
    <row r="31" spans="1:2" ht="112.5" x14ac:dyDescent="0.25">
      <c r="A31" s="40" t="s">
        <v>150</v>
      </c>
    </row>
    <row r="34" spans="1:11" ht="87.5" x14ac:dyDescent="0.25">
      <c r="A34" s="40" t="s">
        <v>151</v>
      </c>
    </row>
    <row r="36" spans="1:11" x14ac:dyDescent="0.25">
      <c r="A36" s="15" t="s">
        <v>152</v>
      </c>
    </row>
    <row r="37" spans="1:11" x14ac:dyDescent="0.25">
      <c r="A37" s="15" t="s">
        <v>153</v>
      </c>
    </row>
    <row r="40" spans="1:11" ht="13" x14ac:dyDescent="0.3">
      <c r="A40" s="15" t="s">
        <v>154</v>
      </c>
      <c r="B40">
        <v>0.59</v>
      </c>
      <c r="C40" s="25" t="s">
        <v>155</v>
      </c>
      <c r="K40" s="25" t="s">
        <v>169</v>
      </c>
    </row>
    <row r="42" spans="1:11" x14ac:dyDescent="0.25">
      <c r="A42" s="15" t="s">
        <v>156</v>
      </c>
      <c r="B42">
        <f xml:space="preserve"> 1 - 0.59</f>
        <v>0.41000000000000003</v>
      </c>
      <c r="C42" s="15" t="s">
        <v>157</v>
      </c>
    </row>
    <row r="43" spans="1:11" x14ac:dyDescent="0.25">
      <c r="A43" s="15"/>
    </row>
    <row r="48" spans="1:11" ht="13" x14ac:dyDescent="0.3">
      <c r="A48" s="25" t="s">
        <v>158</v>
      </c>
      <c r="E48" s="15" t="s">
        <v>160</v>
      </c>
      <c r="F48">
        <f t="array" ref="F48:G54">LINEST(B3:B12,A3:A12,TRUE,TRUE)</f>
        <v>4.591836734693878</v>
      </c>
      <c r="G48">
        <v>-6.4489795918367356</v>
      </c>
      <c r="H48" s="15" t="s">
        <v>159</v>
      </c>
    </row>
    <row r="49" spans="1:8" x14ac:dyDescent="0.25">
      <c r="A49" s="41">
        <f t="array" ref="A49:B49">LINEST(B3:B12,A3:A12)</f>
        <v>4.591836734693878</v>
      </c>
      <c r="B49" s="41">
        <v>-6.4489795918367356</v>
      </c>
      <c r="F49">
        <v>1.3475570627934024</v>
      </c>
      <c r="G49">
        <v>5.4571901757904548</v>
      </c>
    </row>
    <row r="50" spans="1:8" x14ac:dyDescent="0.25">
      <c r="E50" s="15" t="s">
        <v>154</v>
      </c>
      <c r="F50">
        <v>0.59207063914390978</v>
      </c>
      <c r="G50">
        <v>5.9658894336631709</v>
      </c>
      <c r="H50" s="15" t="s">
        <v>165</v>
      </c>
    </row>
    <row r="51" spans="1:8" x14ac:dyDescent="0.25">
      <c r="A51" s="15"/>
      <c r="F51">
        <v>11.611238532110095</v>
      </c>
      <c r="G51">
        <v>8</v>
      </c>
    </row>
    <row r="52" spans="1:8" x14ac:dyDescent="0.25">
      <c r="F52">
        <v>413.26530612244903</v>
      </c>
      <c r="G52">
        <v>284.73469387755097</v>
      </c>
      <c r="H52" s="15" t="s">
        <v>163</v>
      </c>
    </row>
    <row r="53" spans="1:8" x14ac:dyDescent="0.25">
      <c r="F53" t="e">
        <v>#N/A</v>
      </c>
      <c r="G53" t="e">
        <v>#N/A</v>
      </c>
    </row>
    <row r="54" spans="1:8" x14ac:dyDescent="0.25">
      <c r="F54" t="e">
        <v>#N/A</v>
      </c>
      <c r="G54" t="e">
        <v>#N/A</v>
      </c>
    </row>
    <row r="57" spans="1:8" x14ac:dyDescent="0.25">
      <c r="A57" s="15" t="s">
        <v>164</v>
      </c>
      <c r="B57">
        <f>G13/(10-2)</f>
        <v>35.591906249999994</v>
      </c>
    </row>
    <row r="59" spans="1:8" ht="13" x14ac:dyDescent="0.3">
      <c r="A59" s="25" t="s">
        <v>165</v>
      </c>
      <c r="C59" s="25">
        <f>SQRT(B57)</f>
        <v>5.9658952597242267</v>
      </c>
      <c r="E59" s="15" t="s">
        <v>166</v>
      </c>
    </row>
    <row r="61" spans="1:8" x14ac:dyDescent="0.25">
      <c r="A61" s="15" t="s">
        <v>167</v>
      </c>
      <c r="C61" s="42">
        <f>C59/B16</f>
        <v>0.54235411452038429</v>
      </c>
      <c r="E61" s="15" t="s">
        <v>168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A411-73A3-4A90-8CFF-B12F876641CC}">
  <dimension ref="A1:S14"/>
  <sheetViews>
    <sheetView zoomScale="57" workbookViewId="0">
      <selection activeCell="K17" sqref="K17"/>
    </sheetView>
  </sheetViews>
  <sheetFormatPr defaultRowHeight="12.5" x14ac:dyDescent="0.25"/>
  <cols>
    <col min="8" max="8" width="12" bestFit="1" customWidth="1"/>
  </cols>
  <sheetData>
    <row r="1" spans="1:19" x14ac:dyDescent="0.25">
      <c r="B1" s="15" t="s">
        <v>172</v>
      </c>
      <c r="C1" s="15" t="s">
        <v>173</v>
      </c>
      <c r="D1" s="15" t="s">
        <v>99</v>
      </c>
      <c r="G1" s="15" t="s">
        <v>172</v>
      </c>
      <c r="H1" s="15" t="s">
        <v>173</v>
      </c>
      <c r="I1" s="15" t="s">
        <v>99</v>
      </c>
      <c r="L1" s="15" t="s">
        <v>172</v>
      </c>
      <c r="M1" s="15" t="s">
        <v>173</v>
      </c>
      <c r="N1" s="15" t="s">
        <v>99</v>
      </c>
      <c r="Q1" s="15" t="s">
        <v>172</v>
      </c>
      <c r="R1" s="15" t="s">
        <v>173</v>
      </c>
      <c r="S1" s="15" t="s">
        <v>99</v>
      </c>
    </row>
    <row r="2" spans="1:19" x14ac:dyDescent="0.25">
      <c r="A2" s="15" t="s">
        <v>170</v>
      </c>
      <c r="B2">
        <v>25</v>
      </c>
      <c r="C2">
        <v>25</v>
      </c>
      <c r="D2">
        <v>50</v>
      </c>
      <c r="F2" s="15" t="s">
        <v>170</v>
      </c>
      <c r="G2">
        <v>50</v>
      </c>
      <c r="H2">
        <v>0</v>
      </c>
      <c r="I2">
        <f>SUM(G2:H2)</f>
        <v>50</v>
      </c>
      <c r="K2" s="15" t="s">
        <v>170</v>
      </c>
      <c r="L2">
        <v>28</v>
      </c>
      <c r="M2">
        <v>22</v>
      </c>
      <c r="P2" s="15" t="s">
        <v>170</v>
      </c>
      <c r="Q2">
        <v>40</v>
      </c>
      <c r="R2">
        <v>10</v>
      </c>
    </row>
    <row r="3" spans="1:19" x14ac:dyDescent="0.25">
      <c r="A3" s="15" t="s">
        <v>171</v>
      </c>
      <c r="B3">
        <v>25</v>
      </c>
      <c r="C3">
        <v>25</v>
      </c>
      <c r="D3">
        <v>50</v>
      </c>
      <c r="F3" s="15" t="s">
        <v>171</v>
      </c>
      <c r="G3">
        <v>0</v>
      </c>
      <c r="H3">
        <v>50</v>
      </c>
      <c r="I3">
        <f>SUM(G3:H3)</f>
        <v>50</v>
      </c>
      <c r="K3" s="15" t="s">
        <v>171</v>
      </c>
      <c r="L3">
        <v>22</v>
      </c>
      <c r="M3">
        <v>28</v>
      </c>
      <c r="P3" s="15" t="s">
        <v>171</v>
      </c>
      <c r="Q3">
        <v>10</v>
      </c>
      <c r="R3">
        <v>40</v>
      </c>
    </row>
    <row r="4" spans="1:19" x14ac:dyDescent="0.25">
      <c r="B4">
        <v>50</v>
      </c>
      <c r="C4">
        <v>50</v>
      </c>
      <c r="D4">
        <v>100</v>
      </c>
      <c r="G4">
        <f>SUM(G2:G3)</f>
        <v>50</v>
      </c>
      <c r="H4">
        <f>SUM(H2:H3)</f>
        <v>50</v>
      </c>
      <c r="I4">
        <f>SUM(H4,I3)</f>
        <v>100</v>
      </c>
    </row>
    <row r="8" spans="1:19" x14ac:dyDescent="0.25">
      <c r="C8" s="15" t="s">
        <v>175</v>
      </c>
      <c r="H8" s="15" t="s">
        <v>176</v>
      </c>
      <c r="P8" s="15" t="s">
        <v>174</v>
      </c>
    </row>
    <row r="9" spans="1:19" x14ac:dyDescent="0.25">
      <c r="C9">
        <f>D4*(B2*C3-C2*B3)</f>
        <v>0</v>
      </c>
      <c r="H9">
        <f>I4*(((G2*H3-G3*H2)-0.5*I4))^2</f>
        <v>600250000</v>
      </c>
    </row>
    <row r="10" spans="1:19" x14ac:dyDescent="0.25">
      <c r="B10" s="15" t="s">
        <v>177</v>
      </c>
      <c r="C10">
        <v>6250000</v>
      </c>
      <c r="H10">
        <f>H9/6250000</f>
        <v>96.04</v>
      </c>
    </row>
    <row r="13" spans="1:19" x14ac:dyDescent="0.25">
      <c r="J13">
        <f>H10/100</f>
        <v>0.96040000000000003</v>
      </c>
    </row>
    <row r="14" spans="1:19" x14ac:dyDescent="0.25">
      <c r="J14">
        <f>SQRT(J13)</f>
        <v>0.98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Zadanie1</vt:lpstr>
      <vt:lpstr>Zadnie2</vt:lpstr>
      <vt:lpstr>Zadanko3</vt:lpstr>
      <vt:lpstr>Korelacja i Regresja1</vt:lpstr>
      <vt:lpstr>Korelacja i Regresja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mikołaj skrzypkowski</dc:creator>
  <cp:lastModifiedBy>Aleksandra Pstrong</cp:lastModifiedBy>
  <dcterms:created xsi:type="dcterms:W3CDTF">2022-11-29T11:05:09Z</dcterms:created>
  <dcterms:modified xsi:type="dcterms:W3CDTF">2023-01-24T05:59:33Z</dcterms:modified>
</cp:coreProperties>
</file>